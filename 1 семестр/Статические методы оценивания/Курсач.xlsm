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Учеба\Учеба_магистратура\1 семестр\Статические методы оценивания\"/>
    </mc:Choice>
  </mc:AlternateContent>
  <bookViews>
    <workbookView minimized="1" xWindow="480" yWindow="150" windowWidth="11475" windowHeight="8190"/>
  </bookViews>
  <sheets>
    <sheet name="Лист1" sheetId="1" r:id="rId1"/>
    <sheet name="Лист2" sheetId="2" r:id="rId2"/>
    <sheet name="Лист3" sheetId="3" r:id="rId3"/>
  </sheets>
  <calcPr calcId="152511"/>
</workbook>
</file>

<file path=xl/calcChain.xml><?xml version="1.0" encoding="utf-8"?>
<calcChain xmlns="http://schemas.openxmlformats.org/spreadsheetml/2006/main">
  <c r="G103" i="1" l="1"/>
  <c r="G98" i="1"/>
  <c r="G93" i="1"/>
  <c r="G94" i="1"/>
  <c r="G95" i="1"/>
  <c r="G96" i="1"/>
  <c r="G97" i="1"/>
  <c r="G92" i="1"/>
  <c r="G91" i="1"/>
  <c r="G99" i="1" l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109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110" i="1"/>
  <c r="C111" i="1"/>
  <c r="C112" i="1"/>
  <c r="C113" i="1"/>
  <c r="C109" i="1"/>
  <c r="A109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110" i="1"/>
  <c r="G82" i="1"/>
  <c r="G83" i="1"/>
  <c r="G89" i="1"/>
  <c r="G88" i="1"/>
  <c r="G86" i="1"/>
  <c r="G85" i="1"/>
  <c r="G77" i="1"/>
  <c r="G76" i="1"/>
  <c r="G73" i="1"/>
  <c r="G72" i="1"/>
  <c r="G70" i="1"/>
  <c r="G69" i="1"/>
  <c r="G64" i="1"/>
  <c r="G65" i="1"/>
  <c r="G63" i="1"/>
  <c r="G59" i="1"/>
  <c r="G60" i="1"/>
  <c r="G58" i="1"/>
  <c r="F42" i="1"/>
  <c r="F54" i="1"/>
  <c r="F53" i="1"/>
  <c r="F52" i="1"/>
  <c r="F49" i="1"/>
  <c r="F47" i="1"/>
  <c r="F48" i="1"/>
  <c r="F44" i="1"/>
  <c r="F43" i="1"/>
  <c r="F37" i="1"/>
  <c r="F39" i="1"/>
  <c r="F38" i="1"/>
  <c r="C57" i="1"/>
  <c r="I13" i="1"/>
  <c r="I14" i="1"/>
  <c r="I16" i="1"/>
  <c r="I17" i="1"/>
  <c r="I18" i="1"/>
  <c r="I19" i="1"/>
  <c r="I12" i="1"/>
  <c r="H13" i="1"/>
  <c r="H14" i="1"/>
  <c r="H16" i="1"/>
  <c r="H17" i="1"/>
  <c r="F13" i="1" s="1"/>
  <c r="H18" i="1"/>
  <c r="H19" i="1"/>
  <c r="H12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5" i="1"/>
  <c r="J3" i="1"/>
  <c r="F27" i="1"/>
  <c r="F21" i="1"/>
  <c r="F22" i="1"/>
  <c r="F23" i="1"/>
  <c r="F24" i="1"/>
  <c r="F25" i="1"/>
  <c r="F26" i="1"/>
  <c r="F20" i="1"/>
  <c r="F15" i="1"/>
  <c r="F10" i="1"/>
  <c r="F11" i="1"/>
  <c r="F14" i="1"/>
  <c r="F9" i="1"/>
  <c r="F8" i="1"/>
  <c r="E210" i="1" l="1"/>
  <c r="G14" i="1" s="1"/>
  <c r="A210" i="1"/>
  <c r="C210" i="1"/>
  <c r="G210" i="1"/>
  <c r="G17" i="1" s="1"/>
  <c r="H35" i="1"/>
  <c r="H32" i="1"/>
  <c r="F30" i="1"/>
  <c r="D106" i="1"/>
  <c r="K3" i="1"/>
  <c r="H29" i="1" s="1"/>
  <c r="C106" i="1" l="1"/>
  <c r="D3" i="1"/>
  <c r="C3" i="1"/>
  <c r="H15" i="1" l="1"/>
  <c r="H21" i="1" s="1"/>
  <c r="F12" i="1"/>
  <c r="F17" i="1" s="1"/>
  <c r="H25" i="1" s="1"/>
  <c r="I15" i="1"/>
  <c r="I21" i="1"/>
  <c r="H24" i="1" l="1"/>
  <c r="G15" i="1"/>
  <c r="H33" i="1"/>
  <c r="H28" i="1"/>
  <c r="H36" i="1"/>
  <c r="G18" i="1"/>
</calcChain>
</file>

<file path=xl/sharedStrings.xml><?xml version="1.0" encoding="utf-8"?>
<sst xmlns="http://schemas.openxmlformats.org/spreadsheetml/2006/main" count="74" uniqueCount="60">
  <si>
    <t>Генерация начальных данных</t>
  </si>
  <si>
    <t>Безпрерывная случайная велечина X</t>
  </si>
  <si>
    <t>Безпрерывная случайная велечина Y</t>
  </si>
  <si>
    <t>Размах варьирования по X</t>
  </si>
  <si>
    <t>Размах варьирования по Y</t>
  </si>
  <si>
    <t>Количество групп (k)</t>
  </si>
  <si>
    <t>Интервалы группировки по X</t>
  </si>
  <si>
    <t>Интервалы группировки по Y</t>
  </si>
  <si>
    <t>Кол-во велечин в диапазоне по X</t>
  </si>
  <si>
    <t>Безпрерывная случайная велечина X (неотсортированные)</t>
  </si>
  <si>
    <t>Безпрерывная случайная велечина Y (неотсортированные)</t>
  </si>
  <si>
    <t>Кол-во велечин в диапазоне по Y</t>
  </si>
  <si>
    <t>Мат. Ожидание по случайной величине X</t>
  </si>
  <si>
    <t>Мат. Ожидание по случайной величине Y</t>
  </si>
  <si>
    <t>Дисперисия по случайной величине Х</t>
  </si>
  <si>
    <t>Дисперисия по случайной величине Y</t>
  </si>
  <si>
    <t>Мат. ожид. Для интервального ряда Х</t>
  </si>
  <si>
    <t>Мат. ожид. Для интервального ряда Y</t>
  </si>
  <si>
    <t>Дисперисия по случайной величине Х (интервальная)</t>
  </si>
  <si>
    <t>Дисперисия по случайной величине Y (интервальная)</t>
  </si>
  <si>
    <t>Доверительные интервалы грубый метод мат. ожидания по Х</t>
  </si>
  <si>
    <t>Доверительные интервалы грубый метод мат. ожидания по Y</t>
  </si>
  <si>
    <t>9,73;9,87</t>
  </si>
  <si>
    <t>Доверительные интервалы точный метод мат. ожидания по Х</t>
  </si>
  <si>
    <t>9,57;10,03</t>
  </si>
  <si>
    <t>Доверительные интервалы точный метод мат. ожидания по Y</t>
  </si>
  <si>
    <t>10,37;10,51</t>
  </si>
  <si>
    <t>9,58;10,02</t>
  </si>
  <si>
    <t>9,59;10,01</t>
  </si>
  <si>
    <t>10,18;10,70</t>
  </si>
  <si>
    <t>10,19;10,69</t>
  </si>
  <si>
    <t>10,2;10,68</t>
  </si>
  <si>
    <t>Доверительные интервалы грубый метод для дисперсии по Х</t>
  </si>
  <si>
    <t>среднеквадратичное равномерный закон</t>
  </si>
  <si>
    <t>10,06;10,44</t>
  </si>
  <si>
    <t>10,06;10,45</t>
  </si>
  <si>
    <t>10,06;10,46</t>
  </si>
  <si>
    <t>Доверительные интервалы грубый метод для дисперсии по Y</t>
  </si>
  <si>
    <t>среднеквадратичное нормальный закон</t>
  </si>
  <si>
    <t>10,29;13,67</t>
  </si>
  <si>
    <t>Доверительные интервалы точный метод для дисперсии по Х</t>
  </si>
  <si>
    <t>10,14;10,5</t>
  </si>
  <si>
    <t>10,23;10,41</t>
  </si>
  <si>
    <t>10,27;10,36</t>
  </si>
  <si>
    <t>Доверительные интервалы точный метод для дисперсии по Y</t>
  </si>
  <si>
    <t>11,85;12,28</t>
  </si>
  <si>
    <t>11,95;12,17</t>
  </si>
  <si>
    <t>12,01;12,11</t>
  </si>
  <si>
    <t>Выборочный коэффициент вариации Х</t>
  </si>
  <si>
    <t>случайный ряд</t>
  </si>
  <si>
    <t>интервальный ряд</t>
  </si>
  <si>
    <t>Выборочный коэффициент вариации Y</t>
  </si>
  <si>
    <t>Коэффициент асимметрии Х</t>
  </si>
  <si>
    <t>Коэффициент асимметрии Y</t>
  </si>
  <si>
    <t>Эксцесс по Х</t>
  </si>
  <si>
    <t>Эксцесс по Y</t>
  </si>
  <si>
    <t>Является однородной</t>
  </si>
  <si>
    <t>Является неоднородной</t>
  </si>
  <si>
    <t>Критерий Пирсона</t>
  </si>
  <si>
    <t>r = k - (s + 1)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</si>
</sst>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4" fontId="0" fillId="0" borderId="1" xfId="0" applyNumberFormat="1" applyBorder="1" applyAlignment="1">
      <alignment horizontal="left"/>
    </xf>
    <xf numFmtId="0" fontId="1" fillId="0" borderId="1" xfId="0" applyFont="1" applyBorder="1" applyAlignment="1">
      <alignment wrapText="1"/>
    </xf>
    <xf numFmtId="0" fontId="0" fillId="0" borderId="1" xfId="0" applyBorder="1" applyAlignment="1">
      <alignment horizontal="left"/>
    </xf>
    <xf numFmtId="4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3" xfId="0" applyBorder="1" applyAlignment="1">
      <alignment horizontal="left"/>
    </xf>
    <xf numFmtId="0" fontId="1" fillId="0" borderId="1" xfId="0" applyFont="1" applyBorder="1" applyAlignment="1">
      <alignment horizontal="left"/>
    </xf>
    <xf numFmtId="4" fontId="1" fillId="0" borderId="2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1" xfId="0" applyBorder="1"/>
    <xf numFmtId="4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4" fontId="0" fillId="0" borderId="1" xfId="0" applyNumberFormat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/>
    <xf numFmtId="0" fontId="0" fillId="0" borderId="1" xfId="0" applyBorder="1" applyAlignment="1">
      <alignment wrapText="1"/>
    </xf>
    <xf numFmtId="4" fontId="1" fillId="0" borderId="3" xfId="0" applyNumberFormat="1" applyFont="1" applyBorder="1" applyAlignment="1">
      <alignment horizontal="center" vertical="center" wrapText="1"/>
    </xf>
    <xf numFmtId="4" fontId="1" fillId="0" borderId="4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  <a:r>
              <a:rPr lang="ru-RU" baseline="0"/>
              <a:t> по Х</a:t>
            </a:r>
            <a:endParaRPr lang="ru-RU"/>
          </a:p>
        </c:rich>
      </c:tx>
      <c:layout>
        <c:manualLayout>
          <c:xMode val="edge"/>
          <c:yMode val="edge"/>
          <c:x val="0.3021317040054311"/>
          <c:y val="1.8691588785046728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Лист1!$H$3:$H$10</c:f>
              <c:numCache>
                <c:formatCode>General</c:formatCode>
                <c:ptCount val="8"/>
                <c:pt idx="0">
                  <c:v>16</c:v>
                </c:pt>
                <c:pt idx="1">
                  <c:v>9</c:v>
                </c:pt>
                <c:pt idx="2">
                  <c:v>11</c:v>
                </c:pt>
                <c:pt idx="3">
                  <c:v>18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93928"/>
        <c:axId val="134321136"/>
      </c:barChart>
      <c:catAx>
        <c:axId val="74693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4321136"/>
        <c:crosses val="autoZero"/>
        <c:auto val="1"/>
        <c:lblAlgn val="ctr"/>
        <c:lblOffset val="100"/>
        <c:noMultiLvlLbl val="0"/>
      </c:catAx>
      <c:valAx>
        <c:axId val="13432113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4693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  <a:r>
              <a:rPr lang="ru-RU" baseline="0"/>
              <a:t> по</a:t>
            </a:r>
            <a:r>
              <a:rPr lang="en-US" baseline="0"/>
              <a:t> Y</a:t>
            </a:r>
            <a:r>
              <a:rPr lang="ru-RU" baseline="0"/>
              <a:t> </a:t>
            </a:r>
            <a:endParaRPr lang="ru-RU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Лист1!$I$3:$I$10</c:f>
              <c:numCache>
                <c:formatCode>General</c:formatCode>
                <c:ptCount val="8"/>
                <c:pt idx="0">
                  <c:v>2</c:v>
                </c:pt>
                <c:pt idx="1">
                  <c:v>6</c:v>
                </c:pt>
                <c:pt idx="2">
                  <c:v>16</c:v>
                </c:pt>
                <c:pt idx="3">
                  <c:v>24</c:v>
                </c:pt>
                <c:pt idx="4">
                  <c:v>28</c:v>
                </c:pt>
                <c:pt idx="5">
                  <c:v>16</c:v>
                </c:pt>
                <c:pt idx="6">
                  <c:v>4</c:v>
                </c:pt>
                <c:pt idx="7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766336"/>
        <c:axId val="328766728"/>
      </c:barChart>
      <c:catAx>
        <c:axId val="328766336"/>
        <c:scaling>
          <c:orientation val="minMax"/>
        </c:scaling>
        <c:delete val="0"/>
        <c:axPos val="b"/>
        <c:majorTickMark val="none"/>
        <c:minorTickMark val="none"/>
        <c:tickLblPos val="nextTo"/>
        <c:crossAx val="328766728"/>
        <c:crosses val="autoZero"/>
        <c:auto val="1"/>
        <c:lblAlgn val="ctr"/>
        <c:lblOffset val="100"/>
        <c:noMultiLvlLbl val="0"/>
      </c:catAx>
      <c:valAx>
        <c:axId val="3287667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28766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Доверительный интервал и оценки по </a:t>
            </a:r>
            <a:r>
              <a:rPr lang="en-US" sz="1800" b="1" i="0" baseline="0">
                <a:effectLst/>
              </a:rPr>
              <a:t>X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10167795807149059"/>
          <c:y val="4.1666666666666664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Точечные оценки мат. ожидания Х</c:v>
          </c:tx>
          <c:xVal>
            <c:numRef>
              <c:f>Лист1!$E$8:$E$15</c:f>
              <c:numCache>
                <c:formatCode>General</c:formatCode>
                <c:ptCount val="8"/>
                <c:pt idx="0">
                  <c:v>4.3099999999999996</c:v>
                </c:pt>
                <c:pt idx="1">
                  <c:v>5.73</c:v>
                </c:pt>
                <c:pt idx="2">
                  <c:v>7.15</c:v>
                </c:pt>
                <c:pt idx="3">
                  <c:v>8.57</c:v>
                </c:pt>
                <c:pt idx="4" formatCode="#,##0.00">
                  <c:v>9.99</c:v>
                </c:pt>
                <c:pt idx="5" formatCode="#,##0.00">
                  <c:v>11.41</c:v>
                </c:pt>
                <c:pt idx="6" formatCode="#,##0.00">
                  <c:v>12.83</c:v>
                </c:pt>
                <c:pt idx="7" formatCode="#,##0.00">
                  <c:v>14.25</c:v>
                </c:pt>
              </c:numCache>
            </c:numRef>
          </c:xVal>
          <c:yVal>
            <c:numRef>
              <c:f>Лист1!$F$8:$F$15</c:f>
              <c:numCache>
                <c:formatCode>General</c:formatCode>
                <c:ptCount val="8"/>
                <c:pt idx="0">
                  <c:v>0.79524752475247518</c:v>
                </c:pt>
                <c:pt idx="1">
                  <c:v>0.57386138613861382</c:v>
                </c:pt>
                <c:pt idx="2">
                  <c:v>0.85603960396039602</c:v>
                </c:pt>
                <c:pt idx="3">
                  <c:v>1.653861386138614</c:v>
                </c:pt>
                <c:pt idx="4">
                  <c:v>1.3772277227722771</c:v>
                </c:pt>
                <c:pt idx="5">
                  <c:v>1.44</c:v>
                </c:pt>
                <c:pt idx="6">
                  <c:v>1.4746534653465346</c:v>
                </c:pt>
                <c:pt idx="7">
                  <c:v>1.6293069306930694</c:v>
                </c:pt>
              </c:numCache>
            </c:numRef>
          </c:yVal>
          <c:smooth val="1"/>
        </c:ser>
        <c:ser>
          <c:idx val="1"/>
          <c:order val="1"/>
          <c:tx>
            <c:v>Точечные оценки дисперсии X</c:v>
          </c:tx>
          <c:xVal>
            <c:numRef>
              <c:f>Лист1!$E$8:$E$15</c:f>
              <c:numCache>
                <c:formatCode>General</c:formatCode>
                <c:ptCount val="8"/>
                <c:pt idx="0">
                  <c:v>4.3099999999999996</c:v>
                </c:pt>
                <c:pt idx="1">
                  <c:v>5.73</c:v>
                </c:pt>
                <c:pt idx="2">
                  <c:v>7.15</c:v>
                </c:pt>
                <c:pt idx="3">
                  <c:v>8.57</c:v>
                </c:pt>
                <c:pt idx="4" formatCode="#,##0.00">
                  <c:v>9.99</c:v>
                </c:pt>
                <c:pt idx="5" formatCode="#,##0.00">
                  <c:v>11.41</c:v>
                </c:pt>
                <c:pt idx="6" formatCode="#,##0.00">
                  <c:v>12.83</c:v>
                </c:pt>
                <c:pt idx="7" formatCode="#,##0.00">
                  <c:v>14.25</c:v>
                </c:pt>
              </c:numCache>
            </c:numRef>
          </c:xVal>
          <c:yVal>
            <c:numRef>
              <c:f>Лист1!$H$12:$H$19</c:f>
              <c:numCache>
                <c:formatCode>General</c:formatCode>
                <c:ptCount val="8"/>
                <c:pt idx="0">
                  <c:v>3.6195485148514872</c:v>
                </c:pt>
                <c:pt idx="1">
                  <c:v>1.0060039603960398</c:v>
                </c:pt>
                <c:pt idx="2">
                  <c:v>0.40989702970297048</c:v>
                </c:pt>
                <c:pt idx="3">
                  <c:v>4.8190099009900907E-2</c:v>
                </c:pt>
                <c:pt idx="4">
                  <c:v>0.10425742574257392</c:v>
                </c:pt>
                <c:pt idx="5">
                  <c:v>0.63949306930693084</c:v>
                </c:pt>
                <c:pt idx="6">
                  <c:v>1.5234019801980185</c:v>
                </c:pt>
                <c:pt idx="7">
                  <c:v>2.8998178217821784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767512"/>
        <c:axId val="328767904"/>
      </c:scatterChart>
      <c:valAx>
        <c:axId val="328767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1168976284812389"/>
              <c:y val="0.8786803732866724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8767904"/>
        <c:crosses val="autoZero"/>
        <c:crossBetween val="midCat"/>
      </c:valAx>
      <c:valAx>
        <c:axId val="328767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28767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Доверительный</a:t>
            </a:r>
            <a:r>
              <a:rPr lang="ru-RU" baseline="0"/>
              <a:t> интервал и оценки по </a:t>
            </a:r>
            <a:r>
              <a:rPr lang="en-US" baseline="0"/>
              <a:t>Y</a:t>
            </a:r>
            <a:endParaRPr lang="ru-RU"/>
          </a:p>
        </c:rich>
      </c:tx>
      <c:layout>
        <c:manualLayout>
          <c:xMode val="edge"/>
          <c:yMode val="edge"/>
          <c:x val="9.6763114852248602E-2"/>
          <c:y val="6.0185185185185182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Точные оценки мат. ожидания Y</c:v>
          </c:tx>
          <c:xVal>
            <c:numRef>
              <c:f>Лист1!$E$20:$E$28</c:f>
              <c:numCache>
                <c:formatCode>#,##0.00</c:formatCode>
                <c:ptCount val="9"/>
                <c:pt idx="0">
                  <c:v>1.1499999999999999</c:v>
                </c:pt>
                <c:pt idx="1">
                  <c:v>3.43</c:v>
                </c:pt>
                <c:pt idx="2">
                  <c:v>5.71</c:v>
                </c:pt>
                <c:pt idx="3">
                  <c:v>7.99</c:v>
                </c:pt>
                <c:pt idx="4">
                  <c:v>10.27</c:v>
                </c:pt>
                <c:pt idx="5" formatCode="General">
                  <c:v>12.55</c:v>
                </c:pt>
                <c:pt idx="6">
                  <c:v>14.83</c:v>
                </c:pt>
                <c:pt idx="7">
                  <c:v>17.11</c:v>
                </c:pt>
                <c:pt idx="8" formatCode="General">
                  <c:v>19.39</c:v>
                </c:pt>
              </c:numCache>
            </c:numRef>
          </c:xVal>
          <c:yVal>
            <c:numRef>
              <c:f>Лист1!$F$20:$F$27</c:f>
              <c:numCache>
                <c:formatCode>General</c:formatCode>
                <c:ptCount val="8"/>
                <c:pt idx="0">
                  <c:v>4.5346534653465345E-2</c:v>
                </c:pt>
                <c:pt idx="1">
                  <c:v>0.2714851485148515</c:v>
                </c:pt>
                <c:pt idx="2">
                  <c:v>1.085148514851485</c:v>
                </c:pt>
                <c:pt idx="3">
                  <c:v>2.1695049504950492</c:v>
                </c:pt>
                <c:pt idx="4">
                  <c:v>3.1631683168316833</c:v>
                </c:pt>
                <c:pt idx="5">
                  <c:v>2.1687128712871289</c:v>
                </c:pt>
                <c:pt idx="6">
                  <c:v>0.63247524752475248</c:v>
                </c:pt>
                <c:pt idx="7">
                  <c:v>0.90346534653465349</c:v>
                </c:pt>
              </c:numCache>
            </c:numRef>
          </c:yVal>
          <c:smooth val="1"/>
        </c:ser>
        <c:ser>
          <c:idx val="1"/>
          <c:order val="1"/>
          <c:tx>
            <c:v>Точные оценки дисперсии по Y</c:v>
          </c:tx>
          <c:xVal>
            <c:numRef>
              <c:f>Лист1!$E$20:$E$28</c:f>
              <c:numCache>
                <c:formatCode>#,##0.00</c:formatCode>
                <c:ptCount val="9"/>
                <c:pt idx="0">
                  <c:v>1.1499999999999999</c:v>
                </c:pt>
                <c:pt idx="1">
                  <c:v>3.43</c:v>
                </c:pt>
                <c:pt idx="2">
                  <c:v>5.71</c:v>
                </c:pt>
                <c:pt idx="3">
                  <c:v>7.99</c:v>
                </c:pt>
                <c:pt idx="4">
                  <c:v>10.27</c:v>
                </c:pt>
                <c:pt idx="5" formatCode="General">
                  <c:v>12.55</c:v>
                </c:pt>
                <c:pt idx="6">
                  <c:v>14.83</c:v>
                </c:pt>
                <c:pt idx="7">
                  <c:v>17.11</c:v>
                </c:pt>
                <c:pt idx="8" formatCode="General">
                  <c:v>19.39</c:v>
                </c:pt>
              </c:numCache>
            </c:numRef>
          </c:xVal>
          <c:yVal>
            <c:numRef>
              <c:f>Лист1!$I$12:$I$19</c:f>
              <c:numCache>
                <c:formatCode>General</c:formatCode>
                <c:ptCount val="8"/>
                <c:pt idx="0">
                  <c:v>1.2960019801980198</c:v>
                </c:pt>
                <c:pt idx="1">
                  <c:v>2.0053128712871287</c:v>
                </c:pt>
                <c:pt idx="2">
                  <c:v>1.9740039603960409</c:v>
                </c:pt>
                <c:pt idx="3">
                  <c:v>0.37128712871287234</c:v>
                </c:pt>
                <c:pt idx="4">
                  <c:v>0.29411089108910854</c:v>
                </c:pt>
                <c:pt idx="5">
                  <c:v>1.7356198019801985</c:v>
                </c:pt>
                <c:pt idx="6">
                  <c:v>1.2375485148514844</c:v>
                </c:pt>
                <c:pt idx="7">
                  <c:v>3.0661831683168312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52552"/>
        <c:axId val="330752944"/>
      </c:scatterChart>
      <c:valAx>
        <c:axId val="330752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25143950434920082"/>
              <c:y val="0.87868037328667248"/>
            </c:manualLayout>
          </c:layout>
          <c:overlay val="0"/>
        </c:title>
        <c:numFmt formatCode="#,##0.00" sourceLinked="1"/>
        <c:majorTickMark val="none"/>
        <c:minorTickMark val="none"/>
        <c:tickLblPos val="nextTo"/>
        <c:crossAx val="330752944"/>
        <c:crosses val="autoZero"/>
        <c:crossBetween val="midCat"/>
      </c:valAx>
      <c:valAx>
        <c:axId val="330752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30752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Точечные</a:t>
            </a:r>
            <a:r>
              <a:rPr lang="ru-RU" baseline="0"/>
              <a:t> оценки и выборка по Х</a:t>
            </a:r>
            <a:endParaRPr lang="ru-RU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Cлучайная величина Х</c:v>
          </c:tx>
          <c:xVal>
            <c:numLit>
              <c:formatCode>General</c:formatCode>
              <c:ptCount val="2"/>
              <c:pt idx="0">
                <c:v>1</c:v>
              </c:pt>
              <c:pt idx="1">
                <c:v>100</c:v>
              </c:pt>
            </c:numLit>
          </c:xVal>
          <c:yVal>
            <c:numRef>
              <c:f>Лист1!$L$3:$L$103</c:f>
              <c:numCache>
                <c:formatCode>General</c:formatCode>
                <c:ptCount val="101"/>
                <c:pt idx="0">
                  <c:v>7.07</c:v>
                </c:pt>
                <c:pt idx="1">
                  <c:v>12.39</c:v>
                </c:pt>
                <c:pt idx="2">
                  <c:v>11.94</c:v>
                </c:pt>
                <c:pt idx="3">
                  <c:v>6.5</c:v>
                </c:pt>
                <c:pt idx="4">
                  <c:v>4.9800000000000004</c:v>
                </c:pt>
                <c:pt idx="5">
                  <c:v>4.59</c:v>
                </c:pt>
                <c:pt idx="6">
                  <c:v>11.2</c:v>
                </c:pt>
                <c:pt idx="7">
                  <c:v>14.76</c:v>
                </c:pt>
                <c:pt idx="8">
                  <c:v>11.08</c:v>
                </c:pt>
                <c:pt idx="9">
                  <c:v>11.96</c:v>
                </c:pt>
                <c:pt idx="10">
                  <c:v>7.39</c:v>
                </c:pt>
                <c:pt idx="11">
                  <c:v>8.85</c:v>
                </c:pt>
                <c:pt idx="12">
                  <c:v>14.47</c:v>
                </c:pt>
                <c:pt idx="13">
                  <c:v>13.04</c:v>
                </c:pt>
                <c:pt idx="14">
                  <c:v>7.86</c:v>
                </c:pt>
                <c:pt idx="15">
                  <c:v>10.7</c:v>
                </c:pt>
                <c:pt idx="16">
                  <c:v>13.58</c:v>
                </c:pt>
                <c:pt idx="17">
                  <c:v>4.66</c:v>
                </c:pt>
                <c:pt idx="18">
                  <c:v>11.33</c:v>
                </c:pt>
                <c:pt idx="19">
                  <c:v>10.46</c:v>
                </c:pt>
                <c:pt idx="20">
                  <c:v>9.8000000000000007</c:v>
                </c:pt>
                <c:pt idx="21">
                  <c:v>9.31</c:v>
                </c:pt>
                <c:pt idx="22">
                  <c:v>8.76</c:v>
                </c:pt>
                <c:pt idx="23">
                  <c:v>9.9700000000000006</c:v>
                </c:pt>
                <c:pt idx="24">
                  <c:v>15.64</c:v>
                </c:pt>
                <c:pt idx="25">
                  <c:v>4.63</c:v>
                </c:pt>
                <c:pt idx="26">
                  <c:v>10.25</c:v>
                </c:pt>
                <c:pt idx="27">
                  <c:v>11.41</c:v>
                </c:pt>
                <c:pt idx="28">
                  <c:v>8</c:v>
                </c:pt>
                <c:pt idx="29">
                  <c:v>5.82</c:v>
                </c:pt>
                <c:pt idx="30">
                  <c:v>5.54</c:v>
                </c:pt>
                <c:pt idx="31">
                  <c:v>8.7899999999999991</c:v>
                </c:pt>
                <c:pt idx="32">
                  <c:v>11.3</c:v>
                </c:pt>
                <c:pt idx="33">
                  <c:v>12.45</c:v>
                </c:pt>
                <c:pt idx="34">
                  <c:v>8.16</c:v>
                </c:pt>
                <c:pt idx="35">
                  <c:v>5.48</c:v>
                </c:pt>
                <c:pt idx="36">
                  <c:v>10.4</c:v>
                </c:pt>
                <c:pt idx="37">
                  <c:v>4.32</c:v>
                </c:pt>
                <c:pt idx="38">
                  <c:v>10.23</c:v>
                </c:pt>
                <c:pt idx="39">
                  <c:v>11.49</c:v>
                </c:pt>
                <c:pt idx="40">
                  <c:v>4.8600000000000003</c:v>
                </c:pt>
                <c:pt idx="41">
                  <c:v>9.42</c:v>
                </c:pt>
                <c:pt idx="42">
                  <c:v>9.24</c:v>
                </c:pt>
                <c:pt idx="43">
                  <c:v>9.01</c:v>
                </c:pt>
                <c:pt idx="44">
                  <c:v>8.42</c:v>
                </c:pt>
                <c:pt idx="45">
                  <c:v>13.25</c:v>
                </c:pt>
                <c:pt idx="46">
                  <c:v>14.82</c:v>
                </c:pt>
                <c:pt idx="47">
                  <c:v>13.21</c:v>
                </c:pt>
                <c:pt idx="48">
                  <c:v>5.16</c:v>
                </c:pt>
                <c:pt idx="49">
                  <c:v>9.48</c:v>
                </c:pt>
                <c:pt idx="50">
                  <c:v>12.06</c:v>
                </c:pt>
                <c:pt idx="51">
                  <c:v>8.93</c:v>
                </c:pt>
                <c:pt idx="52">
                  <c:v>12.42</c:v>
                </c:pt>
                <c:pt idx="53">
                  <c:v>7.33</c:v>
                </c:pt>
                <c:pt idx="54">
                  <c:v>8.61</c:v>
                </c:pt>
                <c:pt idx="55">
                  <c:v>5.66</c:v>
                </c:pt>
                <c:pt idx="56">
                  <c:v>8.19</c:v>
                </c:pt>
                <c:pt idx="57">
                  <c:v>7.26</c:v>
                </c:pt>
                <c:pt idx="58">
                  <c:v>15.39</c:v>
                </c:pt>
                <c:pt idx="59">
                  <c:v>14.71</c:v>
                </c:pt>
                <c:pt idx="60">
                  <c:v>11.29</c:v>
                </c:pt>
                <c:pt idx="61">
                  <c:v>14.1</c:v>
                </c:pt>
                <c:pt idx="62">
                  <c:v>7.05</c:v>
                </c:pt>
                <c:pt idx="63">
                  <c:v>5.99</c:v>
                </c:pt>
                <c:pt idx="64">
                  <c:v>14.49</c:v>
                </c:pt>
                <c:pt idx="65">
                  <c:v>6.96</c:v>
                </c:pt>
                <c:pt idx="66">
                  <c:v>12.4</c:v>
                </c:pt>
                <c:pt idx="67">
                  <c:v>6.42</c:v>
                </c:pt>
                <c:pt idx="68">
                  <c:v>12.85</c:v>
                </c:pt>
                <c:pt idx="69">
                  <c:v>4.3099999999999996</c:v>
                </c:pt>
                <c:pt idx="70">
                  <c:v>11.35</c:v>
                </c:pt>
                <c:pt idx="71">
                  <c:v>4.8</c:v>
                </c:pt>
                <c:pt idx="72">
                  <c:v>11.78</c:v>
                </c:pt>
                <c:pt idx="73">
                  <c:v>5.03</c:v>
                </c:pt>
                <c:pt idx="74">
                  <c:v>8</c:v>
                </c:pt>
                <c:pt idx="75">
                  <c:v>9.77</c:v>
                </c:pt>
                <c:pt idx="76">
                  <c:v>15.01</c:v>
                </c:pt>
                <c:pt idx="77">
                  <c:v>13.1</c:v>
                </c:pt>
                <c:pt idx="78">
                  <c:v>14.22</c:v>
                </c:pt>
                <c:pt idx="79">
                  <c:v>6.63</c:v>
                </c:pt>
                <c:pt idx="80">
                  <c:v>15.36</c:v>
                </c:pt>
                <c:pt idx="81">
                  <c:v>7.47</c:v>
                </c:pt>
                <c:pt idx="82">
                  <c:v>13.03</c:v>
                </c:pt>
                <c:pt idx="83">
                  <c:v>9.5299999999999994</c:v>
                </c:pt>
                <c:pt idx="84">
                  <c:v>11.53</c:v>
                </c:pt>
                <c:pt idx="85">
                  <c:v>7.23</c:v>
                </c:pt>
                <c:pt idx="86">
                  <c:v>5.68</c:v>
                </c:pt>
                <c:pt idx="87">
                  <c:v>12.56</c:v>
                </c:pt>
                <c:pt idx="88">
                  <c:v>4.66</c:v>
                </c:pt>
                <c:pt idx="89">
                  <c:v>12.54</c:v>
                </c:pt>
                <c:pt idx="90">
                  <c:v>15.45</c:v>
                </c:pt>
                <c:pt idx="91">
                  <c:v>13.01</c:v>
                </c:pt>
                <c:pt idx="92">
                  <c:v>9.35</c:v>
                </c:pt>
                <c:pt idx="93">
                  <c:v>6.32</c:v>
                </c:pt>
                <c:pt idx="94">
                  <c:v>13.46</c:v>
                </c:pt>
                <c:pt idx="95">
                  <c:v>14.48</c:v>
                </c:pt>
                <c:pt idx="96">
                  <c:v>9.7899999999999991</c:v>
                </c:pt>
                <c:pt idx="97">
                  <c:v>4.93</c:v>
                </c:pt>
                <c:pt idx="98">
                  <c:v>9.1300000000000008</c:v>
                </c:pt>
                <c:pt idx="99">
                  <c:v>9.67</c:v>
                </c:pt>
                <c:pt idx="100">
                  <c:v>11.24</c:v>
                </c:pt>
              </c:numCache>
            </c:numRef>
          </c:yVal>
          <c:smooth val="1"/>
        </c:ser>
        <c:ser>
          <c:idx val="1"/>
          <c:order val="1"/>
          <c:tx>
            <c:v>Дисперсия X</c:v>
          </c:tx>
          <c:xVal>
            <c:numLit>
              <c:formatCode>General</c:formatCode>
              <c:ptCount val="2"/>
              <c:pt idx="0">
                <c:v>1</c:v>
              </c:pt>
              <c:pt idx="1">
                <c:v>100</c:v>
              </c:pt>
            </c:numLit>
          </c:xVal>
          <c:yVal>
            <c:numRef>
              <c:f>Лист1!$F$5</c:f>
              <c:numCache>
                <c:formatCode>General</c:formatCode>
                <c:ptCount val="1"/>
                <c:pt idx="0">
                  <c:v>10.53</c:v>
                </c:pt>
              </c:numCache>
            </c:numRef>
          </c:yVal>
          <c:smooth val="1"/>
        </c:ser>
        <c:ser>
          <c:idx val="2"/>
          <c:order val="2"/>
          <c:tx>
            <c:v>Мат. ожидание Х</c:v>
          </c:tx>
          <c:xVal>
            <c:numLit>
              <c:formatCode>General</c:formatCode>
              <c:ptCount val="2"/>
              <c:pt idx="0">
                <c:v>1</c:v>
              </c:pt>
              <c:pt idx="1">
                <c:v>100</c:v>
              </c:pt>
            </c:numLit>
          </c:xVal>
          <c:yVal>
            <c:numRef>
              <c:f>Лист1!$J$3</c:f>
              <c:numCache>
                <c:formatCode>General</c:formatCode>
                <c:ptCount val="1"/>
                <c:pt idx="0">
                  <c:v>9.8000000000000007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53728"/>
        <c:axId val="330754120"/>
      </c:scatterChart>
      <c:valAx>
        <c:axId val="330753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30754120"/>
        <c:crosses val="autoZero"/>
        <c:crossBetween val="midCat"/>
      </c:valAx>
      <c:valAx>
        <c:axId val="330754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307537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Точечные оценки и выборка по </a:t>
            </a:r>
            <a:r>
              <a:rPr lang="en-US" sz="1800" b="1" i="0" baseline="0">
                <a:effectLst/>
              </a:rPr>
              <a:t>Y</a:t>
            </a:r>
          </a:p>
        </c:rich>
      </c:tx>
      <c:layout>
        <c:manualLayout>
          <c:xMode val="edge"/>
          <c:yMode val="edge"/>
          <c:x val="0.18128477690288711"/>
          <c:y val="2.7777777777777776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Случайная величина Y</c:v>
          </c:tx>
          <c:xVal>
            <c:numLit>
              <c:formatCode>General</c:formatCode>
              <c:ptCount val="2"/>
              <c:pt idx="0">
                <c:v>1</c:v>
              </c:pt>
              <c:pt idx="1">
                <c:v>100</c:v>
              </c:pt>
            </c:numLit>
          </c:xVal>
          <c:yVal>
            <c:numRef>
              <c:f>Лист1!$M$3:$M$103</c:f>
              <c:numCache>
                <c:formatCode>General</c:formatCode>
                <c:ptCount val="101"/>
                <c:pt idx="0">
                  <c:v>11.63</c:v>
                </c:pt>
                <c:pt idx="1">
                  <c:v>11.59</c:v>
                </c:pt>
                <c:pt idx="2">
                  <c:v>9.49</c:v>
                </c:pt>
                <c:pt idx="3">
                  <c:v>19.350000000000001</c:v>
                </c:pt>
                <c:pt idx="4">
                  <c:v>15.23</c:v>
                </c:pt>
                <c:pt idx="5">
                  <c:v>14.99</c:v>
                </c:pt>
                <c:pt idx="6">
                  <c:v>10.14</c:v>
                </c:pt>
                <c:pt idx="7">
                  <c:v>11.57</c:v>
                </c:pt>
                <c:pt idx="8">
                  <c:v>8.73</c:v>
                </c:pt>
                <c:pt idx="9">
                  <c:v>15.37</c:v>
                </c:pt>
                <c:pt idx="10">
                  <c:v>9.3800000000000008</c:v>
                </c:pt>
                <c:pt idx="11">
                  <c:v>7.87</c:v>
                </c:pt>
                <c:pt idx="12">
                  <c:v>10.33</c:v>
                </c:pt>
                <c:pt idx="13">
                  <c:v>10.42</c:v>
                </c:pt>
                <c:pt idx="14">
                  <c:v>9.06</c:v>
                </c:pt>
                <c:pt idx="15">
                  <c:v>13.6</c:v>
                </c:pt>
                <c:pt idx="16">
                  <c:v>5.57</c:v>
                </c:pt>
                <c:pt idx="17">
                  <c:v>14.5</c:v>
                </c:pt>
                <c:pt idx="18">
                  <c:v>11.73</c:v>
                </c:pt>
                <c:pt idx="19">
                  <c:v>14.79</c:v>
                </c:pt>
                <c:pt idx="20">
                  <c:v>3.97</c:v>
                </c:pt>
                <c:pt idx="21">
                  <c:v>9.32</c:v>
                </c:pt>
                <c:pt idx="22">
                  <c:v>12.57</c:v>
                </c:pt>
                <c:pt idx="23">
                  <c:v>6.83</c:v>
                </c:pt>
                <c:pt idx="24">
                  <c:v>11.06</c:v>
                </c:pt>
                <c:pt idx="25">
                  <c:v>7.24</c:v>
                </c:pt>
                <c:pt idx="26">
                  <c:v>10.130000000000001</c:v>
                </c:pt>
                <c:pt idx="27">
                  <c:v>13.06</c:v>
                </c:pt>
                <c:pt idx="28">
                  <c:v>11.71</c:v>
                </c:pt>
                <c:pt idx="29">
                  <c:v>14.62</c:v>
                </c:pt>
                <c:pt idx="30">
                  <c:v>9.6</c:v>
                </c:pt>
                <c:pt idx="31">
                  <c:v>8.18</c:v>
                </c:pt>
                <c:pt idx="32">
                  <c:v>18.79</c:v>
                </c:pt>
                <c:pt idx="33">
                  <c:v>7.17</c:v>
                </c:pt>
                <c:pt idx="34">
                  <c:v>9.5</c:v>
                </c:pt>
                <c:pt idx="35">
                  <c:v>8.9</c:v>
                </c:pt>
                <c:pt idx="36">
                  <c:v>1.1499999999999999</c:v>
                </c:pt>
                <c:pt idx="37">
                  <c:v>11.23</c:v>
                </c:pt>
                <c:pt idx="38">
                  <c:v>11.04</c:v>
                </c:pt>
                <c:pt idx="39">
                  <c:v>11.91</c:v>
                </c:pt>
                <c:pt idx="40">
                  <c:v>9.67</c:v>
                </c:pt>
                <c:pt idx="41">
                  <c:v>6.52</c:v>
                </c:pt>
                <c:pt idx="42">
                  <c:v>11.42</c:v>
                </c:pt>
                <c:pt idx="43">
                  <c:v>9.24</c:v>
                </c:pt>
                <c:pt idx="44">
                  <c:v>9.2100000000000009</c:v>
                </c:pt>
                <c:pt idx="45">
                  <c:v>6.07</c:v>
                </c:pt>
                <c:pt idx="46">
                  <c:v>3.83</c:v>
                </c:pt>
                <c:pt idx="47">
                  <c:v>6.25</c:v>
                </c:pt>
                <c:pt idx="48">
                  <c:v>17.96</c:v>
                </c:pt>
                <c:pt idx="49">
                  <c:v>10.23</c:v>
                </c:pt>
                <c:pt idx="50">
                  <c:v>6.81</c:v>
                </c:pt>
                <c:pt idx="51">
                  <c:v>13.66</c:v>
                </c:pt>
                <c:pt idx="52">
                  <c:v>9.4600000000000009</c:v>
                </c:pt>
                <c:pt idx="53">
                  <c:v>11.38</c:v>
                </c:pt>
                <c:pt idx="54">
                  <c:v>17.55</c:v>
                </c:pt>
                <c:pt idx="55">
                  <c:v>1.48</c:v>
                </c:pt>
                <c:pt idx="56">
                  <c:v>9.24</c:v>
                </c:pt>
                <c:pt idx="57">
                  <c:v>8.5500000000000007</c:v>
                </c:pt>
                <c:pt idx="58">
                  <c:v>5.91</c:v>
                </c:pt>
                <c:pt idx="59">
                  <c:v>13.74</c:v>
                </c:pt>
                <c:pt idx="60">
                  <c:v>12.82</c:v>
                </c:pt>
                <c:pt idx="61">
                  <c:v>12.76</c:v>
                </c:pt>
                <c:pt idx="62">
                  <c:v>10.44</c:v>
                </c:pt>
                <c:pt idx="63">
                  <c:v>16.489999999999998</c:v>
                </c:pt>
                <c:pt idx="64">
                  <c:v>5.08</c:v>
                </c:pt>
                <c:pt idx="65">
                  <c:v>5.71</c:v>
                </c:pt>
                <c:pt idx="66">
                  <c:v>10.98</c:v>
                </c:pt>
                <c:pt idx="67">
                  <c:v>13.08</c:v>
                </c:pt>
                <c:pt idx="68">
                  <c:v>12.22</c:v>
                </c:pt>
                <c:pt idx="69">
                  <c:v>11.78</c:v>
                </c:pt>
                <c:pt idx="70">
                  <c:v>13.42</c:v>
                </c:pt>
                <c:pt idx="71">
                  <c:v>10.87</c:v>
                </c:pt>
                <c:pt idx="72">
                  <c:v>9.09</c:v>
                </c:pt>
                <c:pt idx="73">
                  <c:v>13.98</c:v>
                </c:pt>
                <c:pt idx="74">
                  <c:v>11.6</c:v>
                </c:pt>
                <c:pt idx="75">
                  <c:v>12.58</c:v>
                </c:pt>
                <c:pt idx="76">
                  <c:v>8.56</c:v>
                </c:pt>
                <c:pt idx="77">
                  <c:v>10.02</c:v>
                </c:pt>
                <c:pt idx="78">
                  <c:v>10.07</c:v>
                </c:pt>
                <c:pt idx="79">
                  <c:v>11.55</c:v>
                </c:pt>
                <c:pt idx="80">
                  <c:v>10.82</c:v>
                </c:pt>
                <c:pt idx="81">
                  <c:v>7.6</c:v>
                </c:pt>
                <c:pt idx="82">
                  <c:v>4.0199999999999996</c:v>
                </c:pt>
                <c:pt idx="83">
                  <c:v>17.16</c:v>
                </c:pt>
                <c:pt idx="84">
                  <c:v>13.42</c:v>
                </c:pt>
                <c:pt idx="85">
                  <c:v>11.08</c:v>
                </c:pt>
                <c:pt idx="86">
                  <c:v>9.99</c:v>
                </c:pt>
                <c:pt idx="87">
                  <c:v>6.76</c:v>
                </c:pt>
                <c:pt idx="88">
                  <c:v>12.55</c:v>
                </c:pt>
                <c:pt idx="89">
                  <c:v>11.49</c:v>
                </c:pt>
                <c:pt idx="90">
                  <c:v>7.83</c:v>
                </c:pt>
                <c:pt idx="91">
                  <c:v>9.07</c:v>
                </c:pt>
                <c:pt idx="92">
                  <c:v>14.4</c:v>
                </c:pt>
                <c:pt idx="93">
                  <c:v>5.86</c:v>
                </c:pt>
                <c:pt idx="94">
                  <c:v>6.08</c:v>
                </c:pt>
                <c:pt idx="95">
                  <c:v>6.1</c:v>
                </c:pt>
                <c:pt idx="96">
                  <c:v>6.51</c:v>
                </c:pt>
                <c:pt idx="97">
                  <c:v>10.56</c:v>
                </c:pt>
                <c:pt idx="98">
                  <c:v>11.26</c:v>
                </c:pt>
                <c:pt idx="99">
                  <c:v>11.23</c:v>
                </c:pt>
                <c:pt idx="100">
                  <c:v>10.41</c:v>
                </c:pt>
              </c:numCache>
            </c:numRef>
          </c:yVal>
          <c:smooth val="1"/>
        </c:ser>
        <c:ser>
          <c:idx val="1"/>
          <c:order val="1"/>
          <c:tx>
            <c:v>Дисперсия по Y</c:v>
          </c:tx>
          <c:xVal>
            <c:numLit>
              <c:formatCode>General</c:formatCode>
              <c:ptCount val="2"/>
              <c:pt idx="0">
                <c:v>1</c:v>
              </c:pt>
              <c:pt idx="1">
                <c:v>100</c:v>
              </c:pt>
            </c:numLit>
          </c:xVal>
          <c:yVal>
            <c:numRef>
              <c:f>Лист1!$G$5</c:f>
              <c:numCache>
                <c:formatCode>General</c:formatCode>
                <c:ptCount val="1"/>
                <c:pt idx="0">
                  <c:v>12.3</c:v>
                </c:pt>
              </c:numCache>
            </c:numRef>
          </c:yVal>
          <c:smooth val="1"/>
        </c:ser>
        <c:ser>
          <c:idx val="2"/>
          <c:order val="2"/>
          <c:tx>
            <c:v>Мат. ожидание по Y</c:v>
          </c:tx>
          <c:xVal>
            <c:numLit>
              <c:formatCode>General</c:formatCode>
              <c:ptCount val="2"/>
              <c:pt idx="0">
                <c:v>1</c:v>
              </c:pt>
              <c:pt idx="1">
                <c:v>100</c:v>
              </c:pt>
            </c:numLit>
          </c:xVal>
          <c:yVal>
            <c:numRef>
              <c:f>Лист1!$K$3</c:f>
              <c:numCache>
                <c:formatCode>General</c:formatCode>
                <c:ptCount val="1"/>
                <c:pt idx="0">
                  <c:v>10.38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55296"/>
        <c:axId val="330755688"/>
      </c:scatterChart>
      <c:valAx>
        <c:axId val="330755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30755688"/>
        <c:crosses val="autoZero"/>
        <c:crossBetween val="midCat"/>
      </c:valAx>
      <c:valAx>
        <c:axId val="330755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30755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Доверительные</a:t>
            </a:r>
            <a:r>
              <a:rPr lang="ru-RU" baseline="0"/>
              <a:t> интервалы</a:t>
            </a:r>
            <a:endParaRPr lang="ru-RU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Грубый мат. ожидание по Х (-)</c:v>
          </c:tx>
          <c:cat>
            <c:numLit>
              <c:formatCode>General</c:formatCode>
              <c:ptCount val="2"/>
              <c:pt idx="0">
                <c:v>1</c:v>
              </c:pt>
              <c:pt idx="1">
                <c:v>6</c:v>
              </c:pt>
            </c:numLit>
          </c:cat>
          <c:val>
            <c:numRef>
              <c:f>Лист1!$I$37</c:f>
              <c:numCache>
                <c:formatCode>General</c:formatCode>
                <c:ptCount val="1"/>
                <c:pt idx="0">
                  <c:v>9.73</c:v>
                </c:pt>
              </c:numCache>
            </c:numRef>
          </c:val>
          <c:smooth val="0"/>
        </c:ser>
        <c:ser>
          <c:idx val="1"/>
          <c:order val="1"/>
          <c:tx>
            <c:v>Грубый мат. ожидание по Х (+)</c:v>
          </c:tx>
          <c:cat>
            <c:numLit>
              <c:formatCode>General</c:formatCode>
              <c:ptCount val="2"/>
              <c:pt idx="0">
                <c:v>1</c:v>
              </c:pt>
              <c:pt idx="1">
                <c:v>6</c:v>
              </c:pt>
            </c:numLit>
          </c:cat>
          <c:val>
            <c:numRef>
              <c:f>Лист1!$I$38</c:f>
              <c:numCache>
                <c:formatCode>General</c:formatCode>
                <c:ptCount val="1"/>
                <c:pt idx="0">
                  <c:v>9.8699999999999992</c:v>
                </c:pt>
              </c:numCache>
            </c:numRef>
          </c:val>
          <c:smooth val="0"/>
        </c:ser>
        <c:ser>
          <c:idx val="2"/>
          <c:order val="2"/>
          <c:tx>
            <c:v>Грубый мат. ожидание по Y(-)</c:v>
          </c:tx>
          <c:cat>
            <c:numLit>
              <c:formatCode>General</c:formatCode>
              <c:ptCount val="2"/>
              <c:pt idx="0">
                <c:v>1</c:v>
              </c:pt>
              <c:pt idx="1">
                <c:v>6</c:v>
              </c:pt>
            </c:numLit>
          </c:cat>
          <c:val>
            <c:numRef>
              <c:f>Лист1!$I$42</c:f>
              <c:numCache>
                <c:formatCode>General</c:formatCode>
                <c:ptCount val="1"/>
                <c:pt idx="0">
                  <c:v>10.37</c:v>
                </c:pt>
              </c:numCache>
            </c:numRef>
          </c:val>
          <c:smooth val="0"/>
        </c:ser>
        <c:ser>
          <c:idx val="3"/>
          <c:order val="3"/>
          <c:tx>
            <c:v>Грубый мат. ожидание по Y (+)</c:v>
          </c:tx>
          <c:cat>
            <c:numLit>
              <c:formatCode>General</c:formatCode>
              <c:ptCount val="2"/>
              <c:pt idx="0">
                <c:v>1</c:v>
              </c:pt>
              <c:pt idx="1">
                <c:v>6</c:v>
              </c:pt>
            </c:numLit>
          </c:cat>
          <c:val>
            <c:numRef>
              <c:f>Лист1!$I$43</c:f>
              <c:numCache>
                <c:formatCode>General</c:formatCode>
                <c:ptCount val="1"/>
                <c:pt idx="0">
                  <c:v>10.51</c:v>
                </c:pt>
              </c:numCache>
            </c:numRef>
          </c:val>
          <c:smooth val="0"/>
        </c:ser>
        <c:ser>
          <c:idx val="4"/>
          <c:order val="4"/>
          <c:tx>
            <c:v>Точный мат. ожидание по Х (-) 0,9</c:v>
          </c:tx>
          <c:cat>
            <c:numLit>
              <c:formatCode>General</c:formatCode>
              <c:ptCount val="2"/>
              <c:pt idx="0">
                <c:v>1</c:v>
              </c:pt>
              <c:pt idx="1">
                <c:v>6</c:v>
              </c:pt>
            </c:numLit>
          </c:cat>
          <c:val>
            <c:numLit>
              <c:formatCode>General</c:formatCode>
              <c:ptCount val="1"/>
              <c:pt idx="0">
                <c:v>9.57</c:v>
              </c:pt>
            </c:numLit>
          </c:val>
          <c:smooth val="0"/>
        </c:ser>
        <c:ser>
          <c:idx val="5"/>
          <c:order val="5"/>
          <c:tx>
            <c:v>Точный мат. ожидание по Х (+) 0,9</c:v>
          </c:tx>
          <c:cat>
            <c:numLit>
              <c:formatCode>General</c:formatCode>
              <c:ptCount val="2"/>
              <c:pt idx="0">
                <c:v>1</c:v>
              </c:pt>
              <c:pt idx="1">
                <c:v>6</c:v>
              </c:pt>
            </c:numLit>
          </c:cat>
          <c:val>
            <c:numLit>
              <c:formatCode>General</c:formatCode>
              <c:ptCount val="1"/>
              <c:pt idx="0">
                <c:v>10.029999999999999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56472"/>
        <c:axId val="330756864"/>
      </c:lineChart>
      <c:catAx>
        <c:axId val="330756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30756864"/>
        <c:crosses val="autoZero"/>
        <c:auto val="1"/>
        <c:lblAlgn val="ctr"/>
        <c:lblOffset val="100"/>
        <c:noMultiLvlLbl val="0"/>
      </c:catAx>
      <c:valAx>
        <c:axId val="330756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Оценики</a:t>
                </a:r>
                <a:r>
                  <a:rPr lang="ru-RU" baseline="0"/>
                  <a:t> мат. ожидания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30756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323850</xdr:colOff>
      <xdr:row>1</xdr:row>
      <xdr:rowOff>328612</xdr:rowOff>
    </xdr:from>
    <xdr:to>
      <xdr:col>30</xdr:col>
      <xdr:colOff>123825</xdr:colOff>
      <xdr:row>15</xdr:row>
      <xdr:rowOff>433387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166687</xdr:colOff>
      <xdr:row>20</xdr:row>
      <xdr:rowOff>61912</xdr:rowOff>
    </xdr:from>
    <xdr:to>
      <xdr:col>21</xdr:col>
      <xdr:colOff>500062</xdr:colOff>
      <xdr:row>34</xdr:row>
      <xdr:rowOff>138112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242886</xdr:colOff>
      <xdr:row>11</xdr:row>
      <xdr:rowOff>47625</xdr:rowOff>
    </xdr:from>
    <xdr:to>
      <xdr:col>22</xdr:col>
      <xdr:colOff>161925</xdr:colOff>
      <xdr:row>19</xdr:row>
      <xdr:rowOff>695325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80961</xdr:colOff>
      <xdr:row>1</xdr:row>
      <xdr:rowOff>200025</xdr:rowOff>
    </xdr:from>
    <xdr:to>
      <xdr:col>21</xdr:col>
      <xdr:colOff>523874</xdr:colOff>
      <xdr:row>9</xdr:row>
      <xdr:rowOff>123825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233362</xdr:colOff>
      <xdr:row>37</xdr:row>
      <xdr:rowOff>180975</xdr:rowOff>
    </xdr:from>
    <xdr:to>
      <xdr:col>20</xdr:col>
      <xdr:colOff>538162</xdr:colOff>
      <xdr:row>52</xdr:row>
      <xdr:rowOff>66675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261936</xdr:colOff>
      <xdr:row>53</xdr:row>
      <xdr:rowOff>38100</xdr:rowOff>
    </xdr:from>
    <xdr:to>
      <xdr:col>21</xdr:col>
      <xdr:colOff>190499</xdr:colOff>
      <xdr:row>67</xdr:row>
      <xdr:rowOff>114300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603248</xdr:colOff>
      <xdr:row>70</xdr:row>
      <xdr:rowOff>120646</xdr:rowOff>
    </xdr:from>
    <xdr:to>
      <xdr:col>23</xdr:col>
      <xdr:colOff>317499</xdr:colOff>
      <xdr:row>87</xdr:row>
      <xdr:rowOff>10582</xdr:rowOff>
    </xdr:to>
    <xdr:graphicFrame macro="">
      <xdr:nvGraphicFramePr>
        <xdr:cNvPr id="18" name="Диаграмма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210"/>
  <sheetViews>
    <sheetView tabSelected="1" zoomScaleNormal="100" workbookViewId="0">
      <selection activeCell="H95" sqref="H95"/>
    </sheetView>
  </sheetViews>
  <sheetFormatPr defaultRowHeight="15" x14ac:dyDescent="0.25"/>
  <cols>
    <col min="1" max="1" width="15.42578125" customWidth="1"/>
    <col min="2" max="2" width="15.28515625" customWidth="1"/>
    <col min="3" max="4" width="14.7109375" bestFit="1" customWidth="1"/>
    <col min="5" max="5" width="12.5703125" bestFit="1" customWidth="1"/>
    <col min="6" max="6" width="16.140625" customWidth="1"/>
    <col min="7" max="7" width="20.5703125" bestFit="1" customWidth="1"/>
    <col min="8" max="8" width="15.140625" customWidth="1"/>
    <col min="9" max="9" width="15" customWidth="1"/>
    <col min="10" max="11" width="14.42578125" bestFit="1" customWidth="1"/>
    <col min="12" max="12" width="22.42578125" bestFit="1" customWidth="1"/>
    <col min="13" max="13" width="23" bestFit="1" customWidth="1"/>
  </cols>
  <sheetData>
    <row r="1" spans="1:13" ht="15.75" x14ac:dyDescent="0.25">
      <c r="A1" s="27" t="s">
        <v>0</v>
      </c>
      <c r="B1" s="28"/>
    </row>
    <row r="2" spans="1:13" ht="64.5" customHeight="1" x14ac:dyDescent="0.25">
      <c r="A2" s="8" t="s">
        <v>1</v>
      </c>
      <c r="B2" s="9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1" t="s">
        <v>7</v>
      </c>
      <c r="H2" s="10" t="s">
        <v>8</v>
      </c>
      <c r="I2" s="10" t="s">
        <v>11</v>
      </c>
      <c r="J2" s="2" t="s">
        <v>12</v>
      </c>
      <c r="K2" s="2" t="s">
        <v>13</v>
      </c>
      <c r="L2" s="2" t="s">
        <v>9</v>
      </c>
      <c r="M2" s="2" t="s">
        <v>10</v>
      </c>
    </row>
    <row r="3" spans="1:13" ht="15.75" x14ac:dyDescent="0.25">
      <c r="A3" s="1">
        <v>4.3099999999999996</v>
      </c>
      <c r="B3" s="3">
        <v>1.1499999999999999</v>
      </c>
      <c r="C3" s="1">
        <f>A103-A3</f>
        <v>11.330000000000002</v>
      </c>
      <c r="D3" s="3">
        <f>B103-B3</f>
        <v>18.200000000000003</v>
      </c>
      <c r="E3" s="3">
        <v>8</v>
      </c>
      <c r="F3" s="3">
        <v>1.42</v>
      </c>
      <c r="G3" s="6">
        <v>2.2799999999999998</v>
      </c>
      <c r="H3" s="7">
        <v>16</v>
      </c>
      <c r="I3" s="7">
        <v>2</v>
      </c>
      <c r="J3" s="12">
        <f>ROUND(SUM(A3:A103)/101,2)</f>
        <v>9.8000000000000007</v>
      </c>
      <c r="K3" s="3">
        <f>ROUND(SUM(B3:B103)/101,2)</f>
        <v>10.38</v>
      </c>
      <c r="L3" s="3">
        <v>7.07</v>
      </c>
      <c r="M3" s="3">
        <v>11.63</v>
      </c>
    </row>
    <row r="4" spans="1:13" ht="47.25" x14ac:dyDescent="0.25">
      <c r="A4" s="1">
        <v>4.32</v>
      </c>
      <c r="B4" s="3">
        <v>1.48</v>
      </c>
      <c r="C4" s="5"/>
      <c r="D4" s="5"/>
      <c r="F4" s="2" t="s">
        <v>14</v>
      </c>
      <c r="G4" s="14" t="s">
        <v>15</v>
      </c>
      <c r="H4" s="7">
        <v>9</v>
      </c>
      <c r="I4" s="7">
        <v>6</v>
      </c>
      <c r="J4" s="12"/>
      <c r="L4" s="3">
        <v>12.39</v>
      </c>
      <c r="M4" s="3">
        <v>11.59</v>
      </c>
    </row>
    <row r="5" spans="1:13" ht="15.75" x14ac:dyDescent="0.25">
      <c r="A5" s="1">
        <v>4.59</v>
      </c>
      <c r="B5" s="6">
        <v>3.83</v>
      </c>
      <c r="C5" s="15">
        <f t="shared" ref="C5:C36" si="0">((A3-9.8)^2)/100</f>
        <v>0.30140100000000009</v>
      </c>
      <c r="D5" s="15">
        <f t="shared" ref="D5:D36" si="1">((B3-10.38)^2)/100</f>
        <v>0.85192900000000005</v>
      </c>
      <c r="F5" s="3">
        <v>10.53</v>
      </c>
      <c r="G5" s="3">
        <v>12.3</v>
      </c>
      <c r="H5" s="7">
        <v>11</v>
      </c>
      <c r="I5" s="7">
        <v>16</v>
      </c>
      <c r="J5" s="12"/>
      <c r="L5" s="3">
        <v>11.94</v>
      </c>
      <c r="M5" s="3">
        <v>9.49</v>
      </c>
    </row>
    <row r="6" spans="1:13" ht="15.75" x14ac:dyDescent="0.25">
      <c r="A6" s="1">
        <v>4.63</v>
      </c>
      <c r="B6" s="6">
        <v>3.97</v>
      </c>
      <c r="C6" s="15">
        <f t="shared" si="0"/>
        <v>0.30030400000000002</v>
      </c>
      <c r="D6" s="15">
        <f t="shared" si="1"/>
        <v>0.79210000000000003</v>
      </c>
      <c r="H6" s="7">
        <v>18</v>
      </c>
      <c r="I6" s="7">
        <v>24</v>
      </c>
      <c r="J6" s="12"/>
      <c r="L6" s="3">
        <v>6.5</v>
      </c>
      <c r="M6" s="3">
        <v>19.350000000000001</v>
      </c>
    </row>
    <row r="7" spans="1:13" ht="15.75" x14ac:dyDescent="0.25">
      <c r="A7" s="1">
        <v>4.66</v>
      </c>
      <c r="B7" s="6">
        <v>4.0199999999999996</v>
      </c>
      <c r="C7" s="15">
        <f t="shared" si="0"/>
        <v>0.2714410000000001</v>
      </c>
      <c r="D7" s="15">
        <f t="shared" si="1"/>
        <v>0.4290250000000001</v>
      </c>
      <c r="H7" s="7">
        <v>13</v>
      </c>
      <c r="I7" s="7">
        <v>28</v>
      </c>
      <c r="J7" s="12"/>
      <c r="L7" s="3">
        <v>4.9800000000000004</v>
      </c>
      <c r="M7" s="3">
        <v>15.23</v>
      </c>
    </row>
    <row r="8" spans="1:13" ht="15.75" x14ac:dyDescent="0.25">
      <c r="A8" s="1">
        <v>4.66</v>
      </c>
      <c r="B8" s="6">
        <v>5.08</v>
      </c>
      <c r="C8" s="15">
        <f t="shared" si="0"/>
        <v>0.26728900000000011</v>
      </c>
      <c r="D8" s="15">
        <f t="shared" si="1"/>
        <v>0.41088100000000005</v>
      </c>
      <c r="E8">
        <v>4.3099999999999996</v>
      </c>
      <c r="F8">
        <f t="shared" ref="F8:F15" si="2">((E8+E9)/2)*(H3/101)</f>
        <v>0.79524752475247518</v>
      </c>
      <c r="H8" s="7">
        <v>12</v>
      </c>
      <c r="I8" s="7">
        <v>16</v>
      </c>
      <c r="J8" s="12"/>
      <c r="L8" s="3">
        <v>4.59</v>
      </c>
      <c r="M8" s="3">
        <v>14.99</v>
      </c>
    </row>
    <row r="9" spans="1:13" ht="15.75" x14ac:dyDescent="0.25">
      <c r="A9" s="1">
        <v>4.8</v>
      </c>
      <c r="B9" s="6">
        <v>5.57</v>
      </c>
      <c r="C9" s="15">
        <f t="shared" si="0"/>
        <v>0.26419600000000004</v>
      </c>
      <c r="D9" s="15">
        <f t="shared" si="1"/>
        <v>0.40449600000000019</v>
      </c>
      <c r="E9">
        <v>5.73</v>
      </c>
      <c r="F9">
        <f t="shared" si="2"/>
        <v>0.57386138613861382</v>
      </c>
      <c r="H9" s="7">
        <v>11</v>
      </c>
      <c r="I9" s="7">
        <v>4</v>
      </c>
      <c r="J9" s="12"/>
      <c r="L9" s="3">
        <v>11.2</v>
      </c>
      <c r="M9" s="3">
        <v>10.14</v>
      </c>
    </row>
    <row r="10" spans="1:13" ht="15.75" x14ac:dyDescent="0.25">
      <c r="A10" s="1">
        <v>4.8600000000000003</v>
      </c>
      <c r="B10" s="6">
        <v>5.71</v>
      </c>
      <c r="C10" s="15">
        <f t="shared" si="0"/>
        <v>0.26419600000000004</v>
      </c>
      <c r="D10" s="15">
        <f t="shared" si="1"/>
        <v>0.28090000000000009</v>
      </c>
      <c r="E10">
        <v>7.15</v>
      </c>
      <c r="F10">
        <f t="shared" si="2"/>
        <v>0.85603960396039602</v>
      </c>
      <c r="H10" s="7">
        <v>11</v>
      </c>
      <c r="I10" s="7">
        <v>5</v>
      </c>
      <c r="J10" s="12"/>
      <c r="L10" s="3">
        <v>14.76</v>
      </c>
      <c r="M10" s="3">
        <v>11.57</v>
      </c>
    </row>
    <row r="11" spans="1:13" x14ac:dyDescent="0.25">
      <c r="A11" s="1">
        <v>4.93</v>
      </c>
      <c r="B11" s="6">
        <v>5.86</v>
      </c>
      <c r="C11" s="15">
        <f t="shared" si="0"/>
        <v>0.25000000000000006</v>
      </c>
      <c r="D11" s="15">
        <f t="shared" si="1"/>
        <v>0.23136100000000007</v>
      </c>
      <c r="E11" s="5">
        <v>8.57</v>
      </c>
      <c r="F11">
        <f t="shared" si="2"/>
        <v>1.653861386138614</v>
      </c>
      <c r="J11" s="12"/>
      <c r="L11" s="3">
        <v>11.08</v>
      </c>
      <c r="M11" s="3">
        <v>8.73</v>
      </c>
    </row>
    <row r="12" spans="1:13" x14ac:dyDescent="0.25">
      <c r="A12" s="1">
        <v>4.9800000000000004</v>
      </c>
      <c r="B12" s="6">
        <v>5.91</v>
      </c>
      <c r="C12" s="15">
        <f t="shared" si="0"/>
        <v>0.24403600000000003</v>
      </c>
      <c r="D12" s="15">
        <f t="shared" si="1"/>
        <v>0.21808900000000009</v>
      </c>
      <c r="E12" s="16">
        <v>9.99</v>
      </c>
      <c r="F12">
        <f t="shared" si="2"/>
        <v>1.3772277227722771</v>
      </c>
      <c r="H12">
        <f t="shared" ref="H12:H19" si="3">((((E8+E9)/2)-9.8)^2)*(H3/101)</f>
        <v>3.6195485148514872</v>
      </c>
      <c r="I12">
        <f t="shared" ref="I12:I19" si="4">((((E20+E21)/2)-10.38)^2)*(I3/101)</f>
        <v>1.2960019801980198</v>
      </c>
      <c r="J12" s="12"/>
      <c r="L12" s="3">
        <v>11.96</v>
      </c>
      <c r="M12" s="3">
        <v>15.37</v>
      </c>
    </row>
    <row r="13" spans="1:13" x14ac:dyDescent="0.25">
      <c r="A13" s="1">
        <v>5.03</v>
      </c>
      <c r="B13" s="6">
        <v>6.07</v>
      </c>
      <c r="C13" s="15">
        <f t="shared" si="0"/>
        <v>0.2371690000000001</v>
      </c>
      <c r="D13" s="15">
        <f t="shared" si="1"/>
        <v>0.20430400000000007</v>
      </c>
      <c r="E13" s="16">
        <v>11.41</v>
      </c>
      <c r="F13">
        <f t="shared" si="2"/>
        <v>1.44</v>
      </c>
      <c r="G13" t="s">
        <v>54</v>
      </c>
      <c r="H13">
        <f t="shared" si="3"/>
        <v>1.0060039603960398</v>
      </c>
      <c r="I13">
        <f t="shared" si="4"/>
        <v>2.0053128712871287</v>
      </c>
      <c r="J13" s="12"/>
      <c r="L13" s="3">
        <v>7.39</v>
      </c>
      <c r="M13" s="3">
        <v>9.3800000000000008</v>
      </c>
    </row>
    <row r="14" spans="1:13" x14ac:dyDescent="0.25">
      <c r="A14" s="1">
        <v>5.16</v>
      </c>
      <c r="B14" s="6">
        <v>6.08</v>
      </c>
      <c r="C14" s="15">
        <f t="shared" si="0"/>
        <v>0.23232400000000003</v>
      </c>
      <c r="D14" s="15">
        <f t="shared" si="1"/>
        <v>0.19980900000000004</v>
      </c>
      <c r="E14" s="16">
        <v>12.83</v>
      </c>
      <c r="F14">
        <f t="shared" si="2"/>
        <v>1.4746534653465346</v>
      </c>
      <c r="G14">
        <f>ROUND(E210/(101*(SQRT(F5)^4))-3,2)</f>
        <v>-2.98</v>
      </c>
      <c r="H14">
        <f t="shared" si="3"/>
        <v>0.40989702970297048</v>
      </c>
      <c r="I14">
        <f t="shared" si="4"/>
        <v>1.9740039603960409</v>
      </c>
      <c r="J14" s="12"/>
      <c r="L14" s="3">
        <v>8.85</v>
      </c>
      <c r="M14" s="3">
        <v>7.87</v>
      </c>
    </row>
    <row r="15" spans="1:13" x14ac:dyDescent="0.25">
      <c r="A15" s="1">
        <v>5.48</v>
      </c>
      <c r="B15" s="6">
        <v>6.1</v>
      </c>
      <c r="C15" s="15">
        <f t="shared" si="0"/>
        <v>0.22752900000000004</v>
      </c>
      <c r="D15" s="15">
        <f t="shared" si="1"/>
        <v>0.18576100000000004</v>
      </c>
      <c r="E15" s="16">
        <v>14.25</v>
      </c>
      <c r="F15">
        <f t="shared" si="2"/>
        <v>1.6293069306930694</v>
      </c>
      <c r="G15">
        <f>ROUND(E210/(101*(SQRT(H21)^4))-3,2)</f>
        <v>-2.98</v>
      </c>
      <c r="H15">
        <f t="shared" si="3"/>
        <v>4.8190099009900907E-2</v>
      </c>
      <c r="I15">
        <f t="shared" si="4"/>
        <v>0.37128712871287234</v>
      </c>
      <c r="J15" s="12"/>
      <c r="L15" s="3">
        <v>14.47</v>
      </c>
      <c r="M15" s="3">
        <v>10.33</v>
      </c>
    </row>
    <row r="16" spans="1:13" ht="45" x14ac:dyDescent="0.25">
      <c r="A16" s="3">
        <v>5.54</v>
      </c>
      <c r="B16" s="6">
        <v>6.25</v>
      </c>
      <c r="C16" s="15">
        <f t="shared" si="0"/>
        <v>0.21529600000000004</v>
      </c>
      <c r="D16" s="15">
        <f t="shared" si="1"/>
        <v>0.18490000000000006</v>
      </c>
      <c r="E16" s="16">
        <v>15.67</v>
      </c>
      <c r="F16" s="13" t="s">
        <v>16</v>
      </c>
      <c r="G16" t="s">
        <v>55</v>
      </c>
      <c r="H16">
        <f t="shared" si="3"/>
        <v>0.10425742574257392</v>
      </c>
      <c r="I16">
        <f t="shared" si="4"/>
        <v>0.29411089108910854</v>
      </c>
      <c r="J16" s="12"/>
      <c r="L16" s="3">
        <v>13.04</v>
      </c>
      <c r="M16" s="3">
        <v>10.42</v>
      </c>
    </row>
    <row r="17" spans="1:13" x14ac:dyDescent="0.25">
      <c r="A17" s="1">
        <v>5.66</v>
      </c>
      <c r="B17" s="6">
        <v>6.51</v>
      </c>
      <c r="C17" s="15">
        <f t="shared" si="0"/>
        <v>0.18662400000000001</v>
      </c>
      <c r="D17" s="15">
        <f t="shared" si="1"/>
        <v>0.18318400000000012</v>
      </c>
      <c r="E17" s="4"/>
      <c r="F17">
        <f>ROUND(SUM(F8:F16),2)</f>
        <v>9.8000000000000007</v>
      </c>
      <c r="G17">
        <f>ROUND(G210/(101*(SQRT(G5)^4))-3,2)</f>
        <v>-2.97</v>
      </c>
      <c r="H17">
        <f t="shared" si="3"/>
        <v>0.63949306930693084</v>
      </c>
      <c r="I17">
        <f t="shared" si="4"/>
        <v>1.7356198019801985</v>
      </c>
      <c r="J17" s="12"/>
      <c r="L17" s="3">
        <v>7.86</v>
      </c>
      <c r="M17" s="3">
        <v>9.06</v>
      </c>
    </row>
    <row r="18" spans="1:13" x14ac:dyDescent="0.25">
      <c r="A18" s="1">
        <v>5.68</v>
      </c>
      <c r="B18" s="6">
        <v>6.52</v>
      </c>
      <c r="C18" s="15">
        <f t="shared" si="0"/>
        <v>0.18147600000000005</v>
      </c>
      <c r="D18" s="15">
        <f t="shared" si="1"/>
        <v>0.17056900000000005</v>
      </c>
      <c r="E18" s="4"/>
      <c r="G18">
        <f>ROUND(G210/(101*(SQRT(I21)^4))-3,2)</f>
        <v>-2.97</v>
      </c>
      <c r="H18">
        <f t="shared" si="3"/>
        <v>1.5234019801980185</v>
      </c>
      <c r="I18">
        <f t="shared" si="4"/>
        <v>1.2375485148514844</v>
      </c>
      <c r="J18" s="12"/>
      <c r="L18" s="3">
        <v>10.7</v>
      </c>
      <c r="M18" s="3">
        <v>13.6</v>
      </c>
    </row>
    <row r="19" spans="1:13" x14ac:dyDescent="0.25">
      <c r="A19" s="1">
        <v>5.82</v>
      </c>
      <c r="B19" s="6">
        <v>6.76</v>
      </c>
      <c r="C19" s="15">
        <f t="shared" si="0"/>
        <v>0.17139600000000005</v>
      </c>
      <c r="D19" s="15">
        <f t="shared" si="1"/>
        <v>0.14976900000000007</v>
      </c>
      <c r="E19" s="4"/>
      <c r="H19">
        <f t="shared" si="3"/>
        <v>2.8998178217821784</v>
      </c>
      <c r="I19">
        <f t="shared" si="4"/>
        <v>3.0661831683168312</v>
      </c>
      <c r="J19" s="12"/>
      <c r="L19" s="3">
        <v>13.58</v>
      </c>
      <c r="M19" s="3">
        <v>5.57</v>
      </c>
    </row>
    <row r="20" spans="1:13" ht="75" x14ac:dyDescent="0.25">
      <c r="A20" s="1">
        <v>5.99</v>
      </c>
      <c r="B20" s="6">
        <v>6.81</v>
      </c>
      <c r="C20" s="15">
        <f t="shared" si="0"/>
        <v>0.16974400000000009</v>
      </c>
      <c r="D20" s="15">
        <f t="shared" si="1"/>
        <v>0.1489960000000001</v>
      </c>
      <c r="E20" s="16">
        <v>1.1499999999999999</v>
      </c>
      <c r="F20">
        <f t="shared" ref="F20:F27" si="5">((E20+E21)/2)*(I3/101)</f>
        <v>4.5346534653465345E-2</v>
      </c>
      <c r="H20" s="13" t="s">
        <v>18</v>
      </c>
      <c r="I20" s="13" t="s">
        <v>19</v>
      </c>
      <c r="J20" s="12"/>
      <c r="L20" s="3">
        <v>4.66</v>
      </c>
      <c r="M20" s="3">
        <v>14.5</v>
      </c>
    </row>
    <row r="21" spans="1:13" x14ac:dyDescent="0.25">
      <c r="A21" s="1">
        <v>6.32</v>
      </c>
      <c r="B21" s="6">
        <v>6.83</v>
      </c>
      <c r="C21" s="15">
        <f t="shared" si="0"/>
        <v>0.15840400000000004</v>
      </c>
      <c r="D21" s="15">
        <f t="shared" si="1"/>
        <v>0.13104400000000008</v>
      </c>
      <c r="E21" s="16">
        <v>3.43</v>
      </c>
      <c r="F21">
        <f t="shared" si="5"/>
        <v>0.2714851485148515</v>
      </c>
      <c r="H21">
        <f>ROUND(SUM(H12:H19),2)</f>
        <v>10.25</v>
      </c>
      <c r="I21">
        <f>ROUND(SUM(I12:I19),2)</f>
        <v>11.98</v>
      </c>
      <c r="J21" s="12"/>
      <c r="L21" s="3">
        <v>11.33</v>
      </c>
      <c r="M21" s="3">
        <v>11.73</v>
      </c>
    </row>
    <row r="22" spans="1:13" x14ac:dyDescent="0.25">
      <c r="A22" s="1">
        <v>6.42</v>
      </c>
      <c r="B22" s="6">
        <v>7.17</v>
      </c>
      <c r="C22" s="15">
        <f t="shared" si="0"/>
        <v>0.14516100000000004</v>
      </c>
      <c r="D22" s="15">
        <f t="shared" si="1"/>
        <v>0.12744900000000009</v>
      </c>
      <c r="E22" s="16">
        <v>5.71</v>
      </c>
      <c r="F22">
        <f t="shared" si="5"/>
        <v>1.085148514851485</v>
      </c>
      <c r="J22" s="12"/>
      <c r="L22" s="3">
        <v>10.46</v>
      </c>
      <c r="M22" s="3">
        <v>14.79</v>
      </c>
    </row>
    <row r="23" spans="1:13" ht="45" x14ac:dyDescent="0.25">
      <c r="A23" s="1">
        <v>6.5</v>
      </c>
      <c r="B23" s="6">
        <v>7.24</v>
      </c>
      <c r="C23" s="15">
        <f t="shared" si="0"/>
        <v>0.12110400000000004</v>
      </c>
      <c r="D23" s="15">
        <f t="shared" si="1"/>
        <v>0.12602500000000005</v>
      </c>
      <c r="E23" s="16">
        <v>7.99</v>
      </c>
      <c r="F23">
        <f t="shared" si="5"/>
        <v>2.1695049504950492</v>
      </c>
      <c r="G23" s="15"/>
      <c r="H23" s="26" t="s">
        <v>48</v>
      </c>
      <c r="I23" s="15"/>
      <c r="J23" s="12"/>
      <c r="L23" s="3">
        <v>9.8000000000000007</v>
      </c>
      <c r="M23" s="3">
        <v>3.97</v>
      </c>
    </row>
    <row r="24" spans="1:13" ht="30" x14ac:dyDescent="0.25">
      <c r="A24" s="1">
        <v>6.63</v>
      </c>
      <c r="B24" s="6">
        <v>7.6</v>
      </c>
      <c r="C24" s="15">
        <f t="shared" si="0"/>
        <v>0.11424400000000005</v>
      </c>
      <c r="D24" s="15">
        <f t="shared" si="1"/>
        <v>0.10304100000000005</v>
      </c>
      <c r="E24" s="16">
        <v>10.27</v>
      </c>
      <c r="F24">
        <f t="shared" si="5"/>
        <v>3.1631683168316833</v>
      </c>
      <c r="G24" s="15" t="s">
        <v>50</v>
      </c>
      <c r="H24" s="15">
        <f>ROUND((SQRT(H21))/J3,2)</f>
        <v>0.33</v>
      </c>
      <c r="I24" s="26" t="s">
        <v>56</v>
      </c>
      <c r="J24" s="12"/>
      <c r="L24" s="3">
        <v>9.31</v>
      </c>
      <c r="M24" s="3">
        <v>9.32</v>
      </c>
    </row>
    <row r="25" spans="1:13" ht="30" x14ac:dyDescent="0.25">
      <c r="A25" s="1">
        <v>6.96</v>
      </c>
      <c r="B25" s="6">
        <v>7.83</v>
      </c>
      <c r="C25" s="15">
        <f t="shared" si="0"/>
        <v>0.10890000000000004</v>
      </c>
      <c r="D25" s="15">
        <f t="shared" si="1"/>
        <v>9.8596000000000045E-2</v>
      </c>
      <c r="E25" s="17">
        <v>12.55</v>
      </c>
      <c r="F25">
        <f t="shared" si="5"/>
        <v>2.1687128712871289</v>
      </c>
      <c r="G25" s="15" t="s">
        <v>49</v>
      </c>
      <c r="H25" s="15">
        <f>ROUND((SQRT(F5))/F17,2)</f>
        <v>0.33</v>
      </c>
      <c r="I25" s="26" t="s">
        <v>56</v>
      </c>
      <c r="J25" s="12"/>
      <c r="L25" s="3">
        <v>8.76</v>
      </c>
      <c r="M25" s="3">
        <v>12.57</v>
      </c>
    </row>
    <row r="26" spans="1:13" x14ac:dyDescent="0.25">
      <c r="A26" s="1">
        <v>7.05</v>
      </c>
      <c r="B26" s="6">
        <v>7.87</v>
      </c>
      <c r="C26" s="15">
        <f t="shared" si="0"/>
        <v>0.10048900000000005</v>
      </c>
      <c r="D26" s="15">
        <f t="shared" si="1"/>
        <v>7.7284000000000061E-2</v>
      </c>
      <c r="E26" s="16">
        <v>14.83</v>
      </c>
      <c r="F26">
        <f t="shared" si="5"/>
        <v>0.63247524752475248</v>
      </c>
      <c r="I26" s="13"/>
      <c r="J26" s="12"/>
      <c r="L26" s="3">
        <v>9.9700000000000006</v>
      </c>
      <c r="M26" s="3">
        <v>6.83</v>
      </c>
    </row>
    <row r="27" spans="1:13" ht="45" x14ac:dyDescent="0.25">
      <c r="A27" s="1">
        <v>7.07</v>
      </c>
      <c r="B27" s="6">
        <v>8.18</v>
      </c>
      <c r="C27" s="15">
        <f t="shared" si="0"/>
        <v>8.0656000000000033E-2</v>
      </c>
      <c r="D27" s="15">
        <f t="shared" si="1"/>
        <v>6.5025000000000041E-2</v>
      </c>
      <c r="E27" s="16">
        <v>17.11</v>
      </c>
      <c r="F27">
        <f t="shared" si="5"/>
        <v>0.90346534653465349</v>
      </c>
      <c r="G27" s="15"/>
      <c r="H27" s="26" t="s">
        <v>51</v>
      </c>
      <c r="I27" s="15"/>
      <c r="J27" s="12"/>
      <c r="L27" s="3">
        <v>15.64</v>
      </c>
      <c r="M27" s="3">
        <v>11.06</v>
      </c>
    </row>
    <row r="28" spans="1:13" ht="30" x14ac:dyDescent="0.25">
      <c r="A28" s="1">
        <v>7.23</v>
      </c>
      <c r="B28" s="6">
        <v>8.5500000000000007</v>
      </c>
      <c r="C28" s="15">
        <f t="shared" si="0"/>
        <v>7.5625000000000053E-2</v>
      </c>
      <c r="D28" s="15">
        <f t="shared" si="1"/>
        <v>6.3001000000000029E-2</v>
      </c>
      <c r="E28" s="17">
        <v>19.39</v>
      </c>
      <c r="G28" s="15" t="s">
        <v>50</v>
      </c>
      <c r="H28" s="15">
        <f>ROUND((SQRT(I21))/F30,2)</f>
        <v>0.33</v>
      </c>
      <c r="I28" s="26" t="s">
        <v>56</v>
      </c>
      <c r="J28" s="12"/>
      <c r="L28" s="3">
        <v>4.63</v>
      </c>
      <c r="M28" s="3">
        <v>7.24</v>
      </c>
    </row>
    <row r="29" spans="1:13" ht="45" x14ac:dyDescent="0.25">
      <c r="A29" s="1">
        <v>7.26</v>
      </c>
      <c r="B29" s="6">
        <v>8.56</v>
      </c>
      <c r="C29" s="15">
        <f t="shared" si="0"/>
        <v>7.4529000000000026E-2</v>
      </c>
      <c r="D29" s="15">
        <f t="shared" si="1"/>
        <v>4.840000000000004E-2</v>
      </c>
      <c r="E29" s="18"/>
      <c r="F29" s="13" t="s">
        <v>17</v>
      </c>
      <c r="G29" s="15" t="s">
        <v>49</v>
      </c>
      <c r="H29" s="15">
        <f>ROUND((SQRT(G5))/K3,2)</f>
        <v>0.34</v>
      </c>
      <c r="I29" s="26" t="s">
        <v>57</v>
      </c>
      <c r="J29" s="12"/>
      <c r="L29" s="3">
        <v>10.25</v>
      </c>
      <c r="M29" s="3">
        <v>10.130000000000001</v>
      </c>
    </row>
    <row r="30" spans="1:13" x14ac:dyDescent="0.25">
      <c r="A30" s="1">
        <v>7.33</v>
      </c>
      <c r="B30" s="6">
        <v>8.73</v>
      </c>
      <c r="C30" s="15">
        <f t="shared" si="0"/>
        <v>6.604900000000001E-2</v>
      </c>
      <c r="D30" s="15">
        <f t="shared" si="1"/>
        <v>3.3489000000000005E-2</v>
      </c>
      <c r="E30" s="18"/>
      <c r="F30">
        <f>ROUND(SUM(F20:F27),2)</f>
        <v>10.44</v>
      </c>
      <c r="J30" s="12"/>
      <c r="L30" s="3">
        <v>11.41</v>
      </c>
      <c r="M30" s="3">
        <v>13.06</v>
      </c>
    </row>
    <row r="31" spans="1:13" ht="30" x14ac:dyDescent="0.25">
      <c r="A31" s="1">
        <v>7.39</v>
      </c>
      <c r="B31" s="6">
        <v>8.9</v>
      </c>
      <c r="C31" s="15">
        <f t="shared" si="0"/>
        <v>6.4516000000000046E-2</v>
      </c>
      <c r="D31" s="15">
        <f t="shared" si="1"/>
        <v>3.3124000000000015E-2</v>
      </c>
      <c r="E31" s="18"/>
      <c r="H31" s="13" t="s">
        <v>52</v>
      </c>
      <c r="J31" s="12"/>
      <c r="L31" s="3">
        <v>8</v>
      </c>
      <c r="M31" s="3">
        <v>11.71</v>
      </c>
    </row>
    <row r="32" spans="1:13" x14ac:dyDescent="0.25">
      <c r="A32" s="1">
        <v>7.47</v>
      </c>
      <c r="B32" s="6">
        <v>9.06</v>
      </c>
      <c r="C32" s="15">
        <f t="shared" si="0"/>
        <v>6.1009000000000028E-2</v>
      </c>
      <c r="D32" s="15">
        <f t="shared" si="1"/>
        <v>2.722500000000001E-2</v>
      </c>
      <c r="E32" s="18"/>
      <c r="G32" t="s">
        <v>49</v>
      </c>
      <c r="H32">
        <f>ROUND(A210/(SQRT(F5)^3),2)</f>
        <v>-0.02</v>
      </c>
      <c r="J32" s="12"/>
      <c r="L32" s="3">
        <v>5.82</v>
      </c>
      <c r="M32" s="3">
        <v>14.62</v>
      </c>
    </row>
    <row r="33" spans="1:13" x14ac:dyDescent="0.25">
      <c r="A33" s="1">
        <v>7.86</v>
      </c>
      <c r="B33" s="6">
        <v>9.07</v>
      </c>
      <c r="C33" s="15">
        <f t="shared" si="0"/>
        <v>5.8081000000000049E-2</v>
      </c>
      <c r="D33" s="15">
        <f t="shared" si="1"/>
        <v>2.1904000000000014E-2</v>
      </c>
      <c r="E33" s="18"/>
      <c r="G33" t="s">
        <v>50</v>
      </c>
      <c r="H33">
        <f>ROUND(A210/(SQRT(H21)^3),2)</f>
        <v>-0.02</v>
      </c>
      <c r="J33" s="12"/>
      <c r="L33" s="3">
        <v>5.54</v>
      </c>
      <c r="M33" s="3">
        <v>9.6</v>
      </c>
    </row>
    <row r="34" spans="1:13" ht="30" x14ac:dyDescent="0.25">
      <c r="A34" s="1">
        <v>8</v>
      </c>
      <c r="B34" s="6">
        <v>9.09</v>
      </c>
      <c r="C34" s="15">
        <f t="shared" si="0"/>
        <v>5.4289000000000039E-2</v>
      </c>
      <c r="D34" s="15">
        <f t="shared" si="1"/>
        <v>1.7424000000000009E-2</v>
      </c>
      <c r="E34" s="18"/>
      <c r="H34" s="13" t="s">
        <v>53</v>
      </c>
      <c r="J34" s="12"/>
      <c r="L34" s="3">
        <v>8.7899999999999991</v>
      </c>
      <c r="M34" s="3">
        <v>8.18</v>
      </c>
    </row>
    <row r="35" spans="1:13" x14ac:dyDescent="0.25">
      <c r="A35" s="1">
        <v>8</v>
      </c>
      <c r="B35" s="6">
        <v>9.2100000000000009</v>
      </c>
      <c r="C35" s="15">
        <f t="shared" si="0"/>
        <v>3.7636000000000017E-2</v>
      </c>
      <c r="D35" s="15">
        <f t="shared" si="1"/>
        <v>1.7161000000000013E-2</v>
      </c>
      <c r="E35" s="18"/>
      <c r="G35" t="s">
        <v>49</v>
      </c>
      <c r="H35">
        <f>ROUND(C210/(SQRT(G5)^3),2)</f>
        <v>0.02</v>
      </c>
      <c r="J35" s="12"/>
      <c r="L35" s="3">
        <v>11.3</v>
      </c>
      <c r="M35" s="3">
        <v>18.79</v>
      </c>
    </row>
    <row r="36" spans="1:13" ht="75" x14ac:dyDescent="0.25">
      <c r="A36" s="1">
        <v>8.16</v>
      </c>
      <c r="B36" s="6">
        <v>9.24</v>
      </c>
      <c r="C36" s="15">
        <f t="shared" si="0"/>
        <v>3.2400000000000026E-2</v>
      </c>
      <c r="D36" s="15">
        <f t="shared" si="1"/>
        <v>1.6641000000000024E-2</v>
      </c>
      <c r="F36" s="20" t="s">
        <v>20</v>
      </c>
      <c r="G36" t="s">
        <v>50</v>
      </c>
      <c r="H36">
        <f>ROUND(C210/(SQRT(I21)^3),2)</f>
        <v>0.02</v>
      </c>
      <c r="J36" s="12"/>
      <c r="L36" s="3">
        <v>12.45</v>
      </c>
      <c r="M36" s="3">
        <v>7.17</v>
      </c>
    </row>
    <row r="37" spans="1:13" x14ac:dyDescent="0.25">
      <c r="A37" s="1">
        <v>8.19</v>
      </c>
      <c r="B37" s="6">
        <v>9.24</v>
      </c>
      <c r="C37" s="15">
        <f t="shared" ref="C37:C68" si="6">((A35-9.8)^2)/100</f>
        <v>3.2400000000000026E-2</v>
      </c>
      <c r="D37" s="15">
        <f t="shared" ref="D37:D68" si="7">((B35-10.38)^2)/100</f>
        <v>1.3688999999999998E-2</v>
      </c>
      <c r="F37">
        <f>ROUND(0.20884*SQRT(10.25/101),2)</f>
        <v>7.0000000000000007E-2</v>
      </c>
      <c r="G37">
        <v>0.9</v>
      </c>
      <c r="H37" s="21" t="s">
        <v>22</v>
      </c>
      <c r="I37">
        <v>9.73</v>
      </c>
      <c r="J37" s="12"/>
      <c r="L37" s="3">
        <v>8.16</v>
      </c>
      <c r="M37" s="3">
        <v>9.5</v>
      </c>
    </row>
    <row r="38" spans="1:13" x14ac:dyDescent="0.25">
      <c r="A38" s="1">
        <v>8.42</v>
      </c>
      <c r="B38" s="6">
        <v>9.32</v>
      </c>
      <c r="C38" s="15">
        <f t="shared" si="6"/>
        <v>2.6896000000000017E-2</v>
      </c>
      <c r="D38" s="15">
        <f t="shared" si="7"/>
        <v>1.2996000000000013E-2</v>
      </c>
      <c r="F38">
        <f>ROUND(0.20884*SQRT(10.25/101),2)</f>
        <v>7.0000000000000007E-2</v>
      </c>
      <c r="G38">
        <v>0.95</v>
      </c>
      <c r="H38" s="21" t="s">
        <v>22</v>
      </c>
      <c r="I38">
        <v>9.8699999999999992</v>
      </c>
      <c r="J38" s="12"/>
      <c r="L38" s="3">
        <v>5.48</v>
      </c>
      <c r="M38" s="3">
        <v>8.9</v>
      </c>
    </row>
    <row r="39" spans="1:13" x14ac:dyDescent="0.25">
      <c r="A39" s="1">
        <v>8.61</v>
      </c>
      <c r="B39" s="6">
        <v>9.3800000000000008</v>
      </c>
      <c r="C39" s="15">
        <f t="shared" si="6"/>
        <v>2.5921000000000038E-2</v>
      </c>
      <c r="D39" s="15">
        <f t="shared" si="7"/>
        <v>1.2996000000000013E-2</v>
      </c>
      <c r="F39">
        <f>ROUND(0.20884*SQRT(10.25/101),2)</f>
        <v>7.0000000000000007E-2</v>
      </c>
      <c r="G39">
        <v>0.97499999999999998</v>
      </c>
      <c r="H39" s="21" t="s">
        <v>22</v>
      </c>
      <c r="J39" s="12"/>
      <c r="L39" s="3">
        <v>10.4</v>
      </c>
      <c r="M39" s="3">
        <v>1.1499999999999999</v>
      </c>
    </row>
    <row r="40" spans="1:13" x14ac:dyDescent="0.25">
      <c r="A40" s="1">
        <v>8.76</v>
      </c>
      <c r="B40" s="6">
        <v>9.4600000000000009</v>
      </c>
      <c r="C40" s="15">
        <f t="shared" si="6"/>
        <v>1.9044000000000019E-2</v>
      </c>
      <c r="D40" s="15">
        <f t="shared" si="7"/>
        <v>1.123600000000001E-2</v>
      </c>
      <c r="J40" s="12"/>
      <c r="L40" s="3">
        <v>4.32</v>
      </c>
      <c r="M40" s="3">
        <v>11.23</v>
      </c>
    </row>
    <row r="41" spans="1:13" ht="75" x14ac:dyDescent="0.25">
      <c r="A41" s="1">
        <v>8.7899999999999991</v>
      </c>
      <c r="B41" s="6">
        <v>9.49</v>
      </c>
      <c r="C41" s="15">
        <f t="shared" si="6"/>
        <v>1.4161000000000029E-2</v>
      </c>
      <c r="D41" s="15">
        <f t="shared" si="7"/>
        <v>0.01</v>
      </c>
      <c r="F41" s="13" t="s">
        <v>21</v>
      </c>
      <c r="J41" s="12"/>
      <c r="L41" s="3">
        <v>10.23</v>
      </c>
      <c r="M41" s="3">
        <v>11.04</v>
      </c>
    </row>
    <row r="42" spans="1:13" x14ac:dyDescent="0.25">
      <c r="A42" s="1">
        <v>8.85</v>
      </c>
      <c r="B42" s="6">
        <v>9.5</v>
      </c>
      <c r="C42" s="15">
        <f t="shared" si="6"/>
        <v>1.0816000000000018E-2</v>
      </c>
      <c r="D42" s="15">
        <f t="shared" si="7"/>
        <v>8.4639999999999976E-3</v>
      </c>
      <c r="F42" s="22">
        <f>ROUND(0.20884*SQRT(11.98/101),2)</f>
        <v>7.0000000000000007E-2</v>
      </c>
      <c r="G42">
        <v>0.9</v>
      </c>
      <c r="H42" s="21" t="s">
        <v>26</v>
      </c>
      <c r="I42">
        <v>10.37</v>
      </c>
      <c r="J42" s="12"/>
      <c r="L42" s="3">
        <v>11.49</v>
      </c>
      <c r="M42" s="3">
        <v>11.91</v>
      </c>
    </row>
    <row r="43" spans="1:13" x14ac:dyDescent="0.25">
      <c r="A43" s="1">
        <v>8.93</v>
      </c>
      <c r="B43" s="6">
        <v>9.6</v>
      </c>
      <c r="C43" s="15">
        <f t="shared" si="6"/>
        <v>1.0201000000000031E-2</v>
      </c>
      <c r="D43" s="15">
        <f t="shared" si="7"/>
        <v>7.9210000000000096E-3</v>
      </c>
      <c r="F43">
        <f>ROUND(0.20884*SQRT(11.98/101),2)</f>
        <v>7.0000000000000007E-2</v>
      </c>
      <c r="G43">
        <v>0.95</v>
      </c>
      <c r="H43" s="21" t="s">
        <v>26</v>
      </c>
      <c r="I43">
        <v>10.51</v>
      </c>
      <c r="J43" s="12"/>
      <c r="L43" s="3">
        <v>4.8600000000000003</v>
      </c>
      <c r="M43" s="3">
        <v>9.67</v>
      </c>
    </row>
    <row r="44" spans="1:13" x14ac:dyDescent="0.25">
      <c r="A44" s="1">
        <v>9.01</v>
      </c>
      <c r="B44" s="6">
        <v>9.67</v>
      </c>
      <c r="C44" s="15">
        <f t="shared" si="6"/>
        <v>9.0250000000000209E-3</v>
      </c>
      <c r="D44" s="15">
        <f t="shared" si="7"/>
        <v>7.7440000000000139E-3</v>
      </c>
      <c r="F44">
        <f>ROUND(0.20884*SQRT(11.98/101),2)</f>
        <v>7.0000000000000007E-2</v>
      </c>
      <c r="G44">
        <v>0.97499999999999998</v>
      </c>
      <c r="H44" s="21" t="s">
        <v>26</v>
      </c>
      <c r="J44" s="12"/>
      <c r="L44" s="3">
        <v>9.42</v>
      </c>
      <c r="M44" s="3">
        <v>6.52</v>
      </c>
    </row>
    <row r="45" spans="1:13" x14ac:dyDescent="0.25">
      <c r="A45" s="1">
        <v>9.1300000000000008</v>
      </c>
      <c r="B45" s="6">
        <v>9.99</v>
      </c>
      <c r="C45" s="15">
        <f t="shared" si="6"/>
        <v>7.5690000000000167E-3</v>
      </c>
      <c r="D45" s="15">
        <f t="shared" si="7"/>
        <v>6.0840000000000182E-3</v>
      </c>
      <c r="J45" s="12"/>
      <c r="L45" s="3">
        <v>9.24</v>
      </c>
      <c r="M45" s="3">
        <v>11.42</v>
      </c>
    </row>
    <row r="46" spans="1:13" ht="75" x14ac:dyDescent="0.25">
      <c r="A46" s="1">
        <v>9.24</v>
      </c>
      <c r="B46" s="6">
        <v>10.02</v>
      </c>
      <c r="C46" s="15">
        <f t="shared" si="6"/>
        <v>6.2410000000000139E-3</v>
      </c>
      <c r="D46" s="15">
        <f t="shared" si="7"/>
        <v>5.0410000000000125E-3</v>
      </c>
      <c r="F46" s="13" t="s">
        <v>23</v>
      </c>
      <c r="J46" s="12"/>
      <c r="L46" s="3">
        <v>9.01</v>
      </c>
      <c r="M46" s="3">
        <v>9.24</v>
      </c>
    </row>
    <row r="47" spans="1:13" x14ac:dyDescent="0.25">
      <c r="A47" s="1">
        <v>9.31</v>
      </c>
      <c r="B47" s="6">
        <v>10.07</v>
      </c>
      <c r="C47" s="15">
        <f t="shared" si="6"/>
        <v>4.4889999999999991E-3</v>
      </c>
      <c r="D47" s="15">
        <f t="shared" si="7"/>
        <v>1.5210000000000046E-3</v>
      </c>
      <c r="F47">
        <f>ROUND(0.7584*SQRT(10.25/101),2)</f>
        <v>0.24</v>
      </c>
      <c r="G47">
        <v>0.9</v>
      </c>
      <c r="H47" s="21" t="s">
        <v>24</v>
      </c>
      <c r="J47" s="12"/>
      <c r="L47" s="3">
        <v>8.42</v>
      </c>
      <c r="M47" s="3">
        <v>9.2100000000000009</v>
      </c>
    </row>
    <row r="48" spans="1:13" x14ac:dyDescent="0.25">
      <c r="A48" s="1">
        <v>9.35</v>
      </c>
      <c r="B48" s="6">
        <v>10.130000000000001</v>
      </c>
      <c r="C48" s="15">
        <f t="shared" si="6"/>
        <v>3.1360000000000055E-3</v>
      </c>
      <c r="D48" s="15">
        <f t="shared" si="7"/>
        <v>1.2960000000000087E-3</v>
      </c>
      <c r="F48">
        <f>ROUND(0.717*SQRT(10.25/101),2)</f>
        <v>0.23</v>
      </c>
      <c r="G48">
        <v>0.95</v>
      </c>
      <c r="H48" s="21" t="s">
        <v>27</v>
      </c>
      <c r="J48" s="12"/>
      <c r="L48" s="3">
        <v>13.25</v>
      </c>
      <c r="M48" s="3">
        <v>6.07</v>
      </c>
    </row>
    <row r="49" spans="1:13" x14ac:dyDescent="0.25">
      <c r="A49" s="1">
        <v>9.42</v>
      </c>
      <c r="B49" s="6">
        <v>10.14</v>
      </c>
      <c r="C49" s="15">
        <f t="shared" si="6"/>
        <v>2.4010000000000021E-3</v>
      </c>
      <c r="D49" s="15">
        <f t="shared" si="7"/>
        <v>9.6100000000000308E-4</v>
      </c>
      <c r="F49">
        <f>ROUND(0.6969*SQRT(10.25/101),2)</f>
        <v>0.22</v>
      </c>
      <c r="G49">
        <v>0.97499999999999998</v>
      </c>
      <c r="H49" s="21" t="s">
        <v>28</v>
      </c>
      <c r="J49" s="12"/>
      <c r="L49" s="3">
        <v>14.82</v>
      </c>
      <c r="M49" s="3">
        <v>3.83</v>
      </c>
    </row>
    <row r="50" spans="1:13" x14ac:dyDescent="0.25">
      <c r="A50" s="1">
        <v>9.48</v>
      </c>
      <c r="B50" s="6">
        <v>10.23</v>
      </c>
      <c r="C50" s="15">
        <f t="shared" si="6"/>
        <v>2.0250000000000094E-3</v>
      </c>
      <c r="D50" s="15">
        <f t="shared" si="7"/>
        <v>6.2500000000000001E-4</v>
      </c>
      <c r="H50" s="5"/>
      <c r="I50" s="5"/>
      <c r="J50" s="12"/>
      <c r="L50" s="3">
        <v>13.21</v>
      </c>
      <c r="M50" s="3">
        <v>6.25</v>
      </c>
    </row>
    <row r="51" spans="1:13" ht="75" x14ac:dyDescent="0.25">
      <c r="A51" s="1">
        <v>9.5299999999999994</v>
      </c>
      <c r="B51" s="6">
        <v>10.33</v>
      </c>
      <c r="C51" s="15">
        <f t="shared" si="6"/>
        <v>1.4440000000000058E-3</v>
      </c>
      <c r="D51" s="15">
        <f t="shared" si="7"/>
        <v>5.7600000000000099E-4</v>
      </c>
      <c r="F51" s="13" t="s">
        <v>25</v>
      </c>
      <c r="H51" s="5"/>
      <c r="I51" s="5"/>
      <c r="J51" s="12"/>
      <c r="L51" s="3">
        <v>5.16</v>
      </c>
      <c r="M51" s="3">
        <v>17.96</v>
      </c>
    </row>
    <row r="52" spans="1:13" x14ac:dyDescent="0.25">
      <c r="A52" s="1">
        <v>9.67</v>
      </c>
      <c r="B52" s="6">
        <v>10.41</v>
      </c>
      <c r="C52" s="15">
        <f t="shared" si="6"/>
        <v>1.0240000000000019E-3</v>
      </c>
      <c r="D52" s="15">
        <f t="shared" si="7"/>
        <v>2.2500000000000108E-4</v>
      </c>
      <c r="F52">
        <f>ROUND(0.7584*SQRT(11.98/101),2)</f>
        <v>0.26</v>
      </c>
      <c r="G52">
        <v>0.9</v>
      </c>
      <c r="H52" s="23" t="s">
        <v>29</v>
      </c>
      <c r="I52" s="5"/>
      <c r="J52" s="12"/>
      <c r="L52" s="3">
        <v>9.48</v>
      </c>
      <c r="M52" s="3">
        <v>10.23</v>
      </c>
    </row>
    <row r="53" spans="1:13" x14ac:dyDescent="0.25">
      <c r="A53" s="1">
        <v>9.77</v>
      </c>
      <c r="B53" s="6">
        <v>10.42</v>
      </c>
      <c r="C53" s="15">
        <f t="shared" si="6"/>
        <v>7.2900000000000731E-4</v>
      </c>
      <c r="D53" s="15">
        <f t="shared" si="7"/>
        <v>2.5000000000000713E-5</v>
      </c>
      <c r="F53">
        <f>ROUND(0.717*SQRT(11.98/101),2)</f>
        <v>0.25</v>
      </c>
      <c r="G53">
        <v>0.95</v>
      </c>
      <c r="H53" s="24" t="s">
        <v>30</v>
      </c>
      <c r="I53" s="5"/>
      <c r="J53" s="12"/>
      <c r="L53" s="3">
        <v>12.06</v>
      </c>
      <c r="M53" s="3">
        <v>6.81</v>
      </c>
    </row>
    <row r="54" spans="1:13" x14ac:dyDescent="0.25">
      <c r="A54" s="1">
        <v>9.7899999999999991</v>
      </c>
      <c r="B54" s="6">
        <v>10.44</v>
      </c>
      <c r="C54" s="15">
        <f t="shared" si="6"/>
        <v>1.6900000000000202E-4</v>
      </c>
      <c r="D54" s="15">
        <f t="shared" si="7"/>
        <v>8.9999999999996157E-6</v>
      </c>
      <c r="E54" s="5"/>
      <c r="F54">
        <f>ROUND(0.6969*SQRT(11.98/101),2)</f>
        <v>0.24</v>
      </c>
      <c r="G54">
        <v>0.97499999999999998</v>
      </c>
      <c r="H54" s="24" t="s">
        <v>31</v>
      </c>
      <c r="I54" s="5"/>
      <c r="J54" s="12"/>
      <c r="K54" s="5"/>
      <c r="L54" s="3">
        <v>8.93</v>
      </c>
      <c r="M54" s="3">
        <v>13.66</v>
      </c>
    </row>
    <row r="55" spans="1:13" x14ac:dyDescent="0.25">
      <c r="A55" s="1">
        <v>9.8000000000000007</v>
      </c>
      <c r="B55" s="6">
        <v>10.56</v>
      </c>
      <c r="C55" s="15">
        <f t="shared" si="6"/>
        <v>9.0000000000006812E-6</v>
      </c>
      <c r="D55" s="15">
        <f t="shared" si="7"/>
        <v>1.5999999999999318E-5</v>
      </c>
      <c r="F55" s="5"/>
      <c r="H55" s="5"/>
      <c r="I55" s="5"/>
      <c r="J55" s="12"/>
      <c r="L55" s="3">
        <v>12.42</v>
      </c>
      <c r="M55" s="3">
        <v>9.4600000000000009</v>
      </c>
    </row>
    <row r="56" spans="1:13" ht="75" x14ac:dyDescent="0.25">
      <c r="A56" s="1">
        <v>9.9700000000000006</v>
      </c>
      <c r="B56" s="6">
        <v>10.82</v>
      </c>
      <c r="C56" s="15">
        <f t="shared" si="6"/>
        <v>1.0000000000003127E-6</v>
      </c>
      <c r="D56" s="15">
        <f t="shared" si="7"/>
        <v>3.5999999999998463E-5</v>
      </c>
      <c r="F56" s="13" t="s">
        <v>32</v>
      </c>
      <c r="H56" s="5"/>
      <c r="I56" s="5"/>
      <c r="J56" s="12"/>
      <c r="L56" s="3">
        <v>7.33</v>
      </c>
      <c r="M56" s="3">
        <v>11.38</v>
      </c>
    </row>
    <row r="57" spans="1:13" ht="30" x14ac:dyDescent="0.25">
      <c r="A57" s="1">
        <v>10.23</v>
      </c>
      <c r="B57" s="6">
        <v>10.87</v>
      </c>
      <c r="C57" s="15">
        <f t="shared" si="6"/>
        <v>0</v>
      </c>
      <c r="D57" s="15">
        <f t="shared" si="7"/>
        <v>3.2399999999999898E-4</v>
      </c>
      <c r="G57" s="13" t="s">
        <v>33</v>
      </c>
      <c r="H57" s="5"/>
      <c r="I57" s="5"/>
      <c r="J57" s="12"/>
      <c r="L57" s="3">
        <v>8.61</v>
      </c>
      <c r="M57" s="3">
        <v>17.55</v>
      </c>
    </row>
    <row r="58" spans="1:13" x14ac:dyDescent="0.25">
      <c r="A58" s="1">
        <v>10.25</v>
      </c>
      <c r="B58" s="6">
        <v>10.98</v>
      </c>
      <c r="C58" s="15">
        <f t="shared" si="6"/>
        <v>2.8899999999999976E-4</v>
      </c>
      <c r="D58" s="15">
        <f t="shared" si="7"/>
        <v>1.9359999999999955E-3</v>
      </c>
      <c r="G58">
        <f>ROUND(ROUND(SQRT((0.8*101+1.2)/(101*100))*10.25,2)*0.20884,2)</f>
        <v>0.19</v>
      </c>
      <c r="H58">
        <v>0.9</v>
      </c>
      <c r="I58" s="21" t="s">
        <v>34</v>
      </c>
      <c r="J58" s="12"/>
      <c r="L58" s="3">
        <v>5.66</v>
      </c>
      <c r="M58" s="3">
        <v>1.48</v>
      </c>
    </row>
    <row r="59" spans="1:13" x14ac:dyDescent="0.25">
      <c r="A59" s="1">
        <v>10.4</v>
      </c>
      <c r="B59" s="6">
        <v>11.04</v>
      </c>
      <c r="C59" s="15">
        <f t="shared" si="6"/>
        <v>1.8489999999999976E-3</v>
      </c>
      <c r="D59" s="15">
        <f t="shared" si="7"/>
        <v>2.4009999999999847E-3</v>
      </c>
      <c r="G59">
        <f t="shared" ref="G59:G60" si="8">ROUND(ROUND(SQRT((0.8*101+1.2)/(101*100))*10.25,2)*0.20884,2)</f>
        <v>0.19</v>
      </c>
      <c r="H59">
        <v>0.95</v>
      </c>
      <c r="I59" s="21" t="s">
        <v>35</v>
      </c>
      <c r="J59" s="12"/>
      <c r="L59" s="3">
        <v>8.19</v>
      </c>
      <c r="M59" s="3">
        <v>9.24</v>
      </c>
    </row>
    <row r="60" spans="1:13" x14ac:dyDescent="0.25">
      <c r="A60" s="1">
        <v>10.46</v>
      </c>
      <c r="B60" s="6">
        <v>11.06</v>
      </c>
      <c r="C60" s="15">
        <f t="shared" si="6"/>
        <v>2.0249999999999934E-3</v>
      </c>
      <c r="D60" s="15">
        <f t="shared" si="7"/>
        <v>3.599999999999996E-3</v>
      </c>
      <c r="G60">
        <f t="shared" si="8"/>
        <v>0.19</v>
      </c>
      <c r="H60">
        <v>0.97499999999999998</v>
      </c>
      <c r="I60" s="21" t="s">
        <v>36</v>
      </c>
      <c r="J60" s="12"/>
      <c r="L60" s="3">
        <v>7.26</v>
      </c>
      <c r="M60" s="3">
        <v>8.5500000000000007</v>
      </c>
    </row>
    <row r="61" spans="1:13" ht="75" x14ac:dyDescent="0.25">
      <c r="A61" s="1">
        <v>10.7</v>
      </c>
      <c r="B61" s="6">
        <v>11.08</v>
      </c>
      <c r="C61" s="15">
        <f t="shared" si="6"/>
        <v>3.599999999999996E-3</v>
      </c>
      <c r="D61" s="15">
        <f t="shared" si="7"/>
        <v>4.3559999999999779E-3</v>
      </c>
      <c r="F61" s="13" t="s">
        <v>37</v>
      </c>
      <c r="J61" s="12"/>
      <c r="L61" s="3">
        <v>15.39</v>
      </c>
      <c r="M61" s="3">
        <v>5.91</v>
      </c>
    </row>
    <row r="62" spans="1:13" ht="30" x14ac:dyDescent="0.25">
      <c r="A62" s="1">
        <v>11.08</v>
      </c>
      <c r="B62" s="6">
        <v>11.23</v>
      </c>
      <c r="C62" s="15">
        <f t="shared" si="6"/>
        <v>4.3560000000000022E-3</v>
      </c>
      <c r="D62" s="15">
        <f t="shared" si="7"/>
        <v>4.6239999999999962E-3</v>
      </c>
      <c r="G62" s="13" t="s">
        <v>38</v>
      </c>
      <c r="J62" s="12"/>
      <c r="L62" s="3">
        <v>14.71</v>
      </c>
      <c r="M62" s="3">
        <v>13.74</v>
      </c>
    </row>
    <row r="63" spans="1:13" x14ac:dyDescent="0.25">
      <c r="A63" s="1">
        <v>11.2</v>
      </c>
      <c r="B63" s="6">
        <v>11.23</v>
      </c>
      <c r="C63" s="15">
        <f t="shared" si="6"/>
        <v>8.0999999999999735E-3</v>
      </c>
      <c r="D63" s="15">
        <f t="shared" si="7"/>
        <v>4.8999999999999903E-3</v>
      </c>
      <c r="G63">
        <f>ROUND(SQRT(2/100)*11.98,2)</f>
        <v>1.69</v>
      </c>
      <c r="H63">
        <v>0.9</v>
      </c>
      <c r="I63" s="21" t="s">
        <v>39</v>
      </c>
      <c r="J63" s="12"/>
      <c r="L63" s="3">
        <v>11.29</v>
      </c>
      <c r="M63" s="3">
        <v>12.82</v>
      </c>
    </row>
    <row r="64" spans="1:13" x14ac:dyDescent="0.25">
      <c r="A64" s="1">
        <v>11.24</v>
      </c>
      <c r="B64" s="6">
        <v>11.26</v>
      </c>
      <c r="C64" s="15">
        <f t="shared" si="6"/>
        <v>1.6383999999999982E-2</v>
      </c>
      <c r="D64" s="15">
        <f t="shared" si="7"/>
        <v>7.2249999999999936E-3</v>
      </c>
      <c r="G64">
        <f t="shared" ref="G64:G65" si="9">ROUND(SQRT(2/100)*11.98,2)</f>
        <v>1.69</v>
      </c>
      <c r="H64">
        <v>0.95</v>
      </c>
      <c r="I64" s="21" t="s">
        <v>39</v>
      </c>
      <c r="J64" s="12"/>
      <c r="L64" s="3">
        <v>14.1</v>
      </c>
      <c r="M64" s="3">
        <v>12.76</v>
      </c>
    </row>
    <row r="65" spans="1:13" x14ac:dyDescent="0.25">
      <c r="A65" s="1">
        <v>11.29</v>
      </c>
      <c r="B65" s="6">
        <v>11.38</v>
      </c>
      <c r="C65" s="15">
        <f t="shared" si="6"/>
        <v>1.9599999999999961E-2</v>
      </c>
      <c r="D65" s="15">
        <f t="shared" si="7"/>
        <v>7.2249999999999936E-3</v>
      </c>
      <c r="G65">
        <f t="shared" si="9"/>
        <v>1.69</v>
      </c>
      <c r="H65">
        <v>0.97499999999999998</v>
      </c>
      <c r="I65" s="21" t="s">
        <v>39</v>
      </c>
      <c r="J65" s="12"/>
      <c r="L65" s="3">
        <v>7.05</v>
      </c>
      <c r="M65" s="3">
        <v>10.44</v>
      </c>
    </row>
    <row r="66" spans="1:13" x14ac:dyDescent="0.25">
      <c r="A66" s="1">
        <v>11.3</v>
      </c>
      <c r="B66" s="6">
        <v>11.42</v>
      </c>
      <c r="C66" s="15">
        <f t="shared" si="6"/>
        <v>2.0735999999999987E-2</v>
      </c>
      <c r="D66" s="15">
        <f t="shared" si="7"/>
        <v>7.7439999999999818E-3</v>
      </c>
      <c r="J66" s="12"/>
      <c r="L66" s="3">
        <v>5.99</v>
      </c>
      <c r="M66" s="3">
        <v>16.489999999999998</v>
      </c>
    </row>
    <row r="67" spans="1:13" ht="75" x14ac:dyDescent="0.25">
      <c r="A67" s="1">
        <v>11.33</v>
      </c>
      <c r="B67" s="6">
        <v>11.49</v>
      </c>
      <c r="C67" s="15">
        <f t="shared" si="6"/>
        <v>2.2200999999999957E-2</v>
      </c>
      <c r="D67" s="15">
        <f t="shared" si="7"/>
        <v>0.01</v>
      </c>
      <c r="F67" s="13" t="s">
        <v>40</v>
      </c>
      <c r="J67" s="12"/>
      <c r="L67" s="3">
        <v>14.49</v>
      </c>
      <c r="M67" s="3">
        <v>5.08</v>
      </c>
    </row>
    <row r="68" spans="1:13" x14ac:dyDescent="0.25">
      <c r="A68" s="1">
        <v>11.35</v>
      </c>
      <c r="B68" s="6">
        <v>11.55</v>
      </c>
      <c r="C68" s="15">
        <f t="shared" si="6"/>
        <v>2.2499999999999999E-2</v>
      </c>
      <c r="D68" s="15">
        <f t="shared" si="7"/>
        <v>1.0815999999999982E-2</v>
      </c>
      <c r="H68">
        <v>0.9</v>
      </c>
      <c r="I68" t="s">
        <v>41</v>
      </c>
      <c r="J68" s="12"/>
      <c r="L68" s="3">
        <v>6.96</v>
      </c>
      <c r="M68" s="3">
        <v>5.71</v>
      </c>
    </row>
    <row r="69" spans="1:13" x14ac:dyDescent="0.25">
      <c r="A69" s="1">
        <v>11.41</v>
      </c>
      <c r="B69" s="6">
        <v>11.57</v>
      </c>
      <c r="C69" s="15">
        <f t="shared" ref="C69:C100" si="10">((A67-9.8)^2)/100</f>
        <v>2.3408999999999982E-2</v>
      </c>
      <c r="D69" s="15">
        <f t="shared" ref="D69:D100" si="11">((B67-10.38)^2)/100</f>
        <v>1.2320999999999986E-2</v>
      </c>
      <c r="G69">
        <f>ROUND((101*10.25)/(_xlfn.CHISQ.INV(0.55,101)),2)</f>
        <v>10.14</v>
      </c>
      <c r="J69" s="12"/>
      <c r="L69" s="3">
        <v>12.4</v>
      </c>
      <c r="M69" s="3">
        <v>10.98</v>
      </c>
    </row>
    <row r="70" spans="1:13" x14ac:dyDescent="0.25">
      <c r="A70" s="1">
        <v>11.49</v>
      </c>
      <c r="B70" s="6">
        <v>11.59</v>
      </c>
      <c r="C70" s="15">
        <f t="shared" si="10"/>
        <v>2.4024999999999967E-2</v>
      </c>
      <c r="D70" s="15">
        <f t="shared" si="11"/>
        <v>1.3688999999999998E-2</v>
      </c>
      <c r="G70">
        <f>ROUND(101*10.25/_xlfn.CHISQ.INV(0.45,101),2)</f>
        <v>10.5</v>
      </c>
      <c r="J70" s="12"/>
      <c r="L70" s="3">
        <v>6.42</v>
      </c>
      <c r="M70" s="3">
        <v>13.08</v>
      </c>
    </row>
    <row r="71" spans="1:13" x14ac:dyDescent="0.25">
      <c r="A71" s="1">
        <v>11.53</v>
      </c>
      <c r="B71" s="6">
        <v>11.6</v>
      </c>
      <c r="C71" s="15">
        <f t="shared" si="10"/>
        <v>2.5920999999999982E-2</v>
      </c>
      <c r="D71" s="15">
        <f t="shared" si="11"/>
        <v>1.4160999999999988E-2</v>
      </c>
      <c r="H71">
        <v>0.95</v>
      </c>
      <c r="I71" t="s">
        <v>42</v>
      </c>
      <c r="J71" s="12"/>
      <c r="L71" s="3">
        <v>12.85</v>
      </c>
      <c r="M71" s="3">
        <v>12.22</v>
      </c>
    </row>
    <row r="72" spans="1:13" x14ac:dyDescent="0.25">
      <c r="A72" s="1">
        <v>11.78</v>
      </c>
      <c r="B72" s="6">
        <v>11.63</v>
      </c>
      <c r="C72" s="15">
        <f t="shared" si="10"/>
        <v>2.8560999999999982E-2</v>
      </c>
      <c r="D72" s="15">
        <f t="shared" si="11"/>
        <v>1.4640999999999977E-2</v>
      </c>
      <c r="G72">
        <f>ROUND((101*10.25)/(_xlfn.CHISQ.INV(0.525,101)),2)</f>
        <v>10.23</v>
      </c>
      <c r="J72" s="12"/>
      <c r="L72" s="3">
        <v>4.3099999999999996</v>
      </c>
      <c r="M72" s="3">
        <v>11.78</v>
      </c>
    </row>
    <row r="73" spans="1:13" x14ac:dyDescent="0.25">
      <c r="A73" s="1">
        <v>11.94</v>
      </c>
      <c r="B73" s="6">
        <v>11.71</v>
      </c>
      <c r="C73" s="15">
        <f t="shared" si="10"/>
        <v>2.9928999999999952E-2</v>
      </c>
      <c r="D73" s="15">
        <f t="shared" si="11"/>
        <v>1.4883999999999974E-2</v>
      </c>
      <c r="G73">
        <f>ROUND(101*10.25/_xlfn.CHISQ.INV(0.475,101),2)</f>
        <v>10.41</v>
      </c>
      <c r="J73" s="12"/>
      <c r="L73" s="3">
        <v>11.35</v>
      </c>
      <c r="M73" s="3">
        <v>13.42</v>
      </c>
    </row>
    <row r="74" spans="1:13" x14ac:dyDescent="0.25">
      <c r="A74" s="1">
        <v>11.96</v>
      </c>
      <c r="B74" s="6">
        <v>11.73</v>
      </c>
      <c r="C74" s="15">
        <f t="shared" si="10"/>
        <v>3.9203999999999947E-2</v>
      </c>
      <c r="D74" s="15">
        <f t="shared" si="11"/>
        <v>1.5625E-2</v>
      </c>
      <c r="J74" s="12"/>
      <c r="L74" s="3">
        <v>4.8</v>
      </c>
      <c r="M74" s="3">
        <v>10.87</v>
      </c>
    </row>
    <row r="75" spans="1:13" x14ac:dyDescent="0.25">
      <c r="A75" s="1">
        <v>12.06</v>
      </c>
      <c r="B75" s="6">
        <v>11.78</v>
      </c>
      <c r="C75" s="15">
        <f t="shared" si="10"/>
        <v>4.5795999999999948E-2</v>
      </c>
      <c r="D75" s="15">
        <f t="shared" si="11"/>
        <v>1.7689E-2</v>
      </c>
      <c r="H75">
        <v>0.97499999999999998</v>
      </c>
      <c r="I75" t="s">
        <v>43</v>
      </c>
      <c r="J75" s="12"/>
      <c r="L75" s="3">
        <v>11.78</v>
      </c>
      <c r="M75" s="3">
        <v>9.09</v>
      </c>
    </row>
    <row r="76" spans="1:13" x14ac:dyDescent="0.25">
      <c r="A76" s="1">
        <v>12.39</v>
      </c>
      <c r="B76" s="6">
        <v>11.91</v>
      </c>
      <c r="C76" s="15">
        <f t="shared" si="10"/>
        <v>4.6656000000000003E-2</v>
      </c>
      <c r="D76" s="15">
        <f t="shared" si="11"/>
        <v>1.8224999999999991E-2</v>
      </c>
      <c r="G76">
        <f>ROUND((101*10.25)/(_xlfn.CHISQ.INV(0.5125,101)),2)</f>
        <v>10.27</v>
      </c>
      <c r="J76" s="12"/>
      <c r="L76" s="3">
        <v>5.03</v>
      </c>
      <c r="M76" s="3">
        <v>13.98</v>
      </c>
    </row>
    <row r="77" spans="1:13" x14ac:dyDescent="0.25">
      <c r="A77" s="1">
        <v>12.4</v>
      </c>
      <c r="B77" s="6">
        <v>12.22</v>
      </c>
      <c r="C77" s="15">
        <f t="shared" si="10"/>
        <v>5.1075999999999989E-2</v>
      </c>
      <c r="D77" s="15">
        <f t="shared" si="11"/>
        <v>1.9599999999999961E-2</v>
      </c>
      <c r="G77">
        <f>ROUND((101*10.25)/(_xlfn.CHISQ.INV(0.4875,101)),2)</f>
        <v>10.36</v>
      </c>
      <c r="J77" s="12"/>
      <c r="L77" s="3">
        <v>8</v>
      </c>
      <c r="M77" s="3">
        <v>11.6</v>
      </c>
    </row>
    <row r="78" spans="1:13" x14ac:dyDescent="0.25">
      <c r="A78" s="1">
        <v>12.42</v>
      </c>
      <c r="B78" s="6">
        <v>12.55</v>
      </c>
      <c r="C78" s="15">
        <f t="shared" si="10"/>
        <v>6.7080999999999988E-2</v>
      </c>
      <c r="D78" s="15">
        <f t="shared" si="11"/>
        <v>2.3408999999999982E-2</v>
      </c>
      <c r="J78" s="12"/>
      <c r="L78" s="3">
        <v>9.77</v>
      </c>
      <c r="M78" s="3">
        <v>12.58</v>
      </c>
    </row>
    <row r="79" spans="1:13" x14ac:dyDescent="0.25">
      <c r="A79" s="1">
        <v>12.45</v>
      </c>
      <c r="B79" s="6">
        <v>12.57</v>
      </c>
      <c r="C79" s="15">
        <f t="shared" si="10"/>
        <v>6.759999999999998E-2</v>
      </c>
      <c r="D79" s="15">
        <f t="shared" si="11"/>
        <v>3.385599999999999E-2</v>
      </c>
      <c r="J79" s="12"/>
      <c r="L79" s="3">
        <v>15.01</v>
      </c>
      <c r="M79" s="3">
        <v>8.56</v>
      </c>
    </row>
    <row r="80" spans="1:13" ht="75" x14ac:dyDescent="0.25">
      <c r="A80" s="1">
        <v>12.54</v>
      </c>
      <c r="B80" s="6">
        <v>12.58</v>
      </c>
      <c r="C80" s="15">
        <f t="shared" si="10"/>
        <v>6.8643999999999969E-2</v>
      </c>
      <c r="D80" s="15">
        <f t="shared" si="11"/>
        <v>4.7088999999999999E-2</v>
      </c>
      <c r="F80" s="13" t="s">
        <v>44</v>
      </c>
      <c r="J80" s="12"/>
      <c r="L80" s="3">
        <v>13.1</v>
      </c>
      <c r="M80" s="3">
        <v>10.02</v>
      </c>
    </row>
    <row r="81" spans="1:13" x14ac:dyDescent="0.25">
      <c r="A81" s="1">
        <v>12.56</v>
      </c>
      <c r="B81" s="6">
        <v>12.76</v>
      </c>
      <c r="C81" s="15">
        <f t="shared" si="10"/>
        <v>7.0224999999999926E-2</v>
      </c>
      <c r="D81" s="15">
        <f t="shared" si="11"/>
        <v>4.7960999999999983E-2</v>
      </c>
      <c r="H81">
        <v>0.9</v>
      </c>
      <c r="I81" t="s">
        <v>45</v>
      </c>
      <c r="J81" s="12"/>
      <c r="L81" s="3">
        <v>14.22</v>
      </c>
      <c r="M81" s="3">
        <v>10.07</v>
      </c>
    </row>
    <row r="82" spans="1:13" x14ac:dyDescent="0.25">
      <c r="A82" s="1">
        <v>12.85</v>
      </c>
      <c r="B82" s="6">
        <v>12.82</v>
      </c>
      <c r="C82" s="15">
        <f t="shared" si="10"/>
        <v>7.5075999999999907E-2</v>
      </c>
      <c r="D82" s="15">
        <f t="shared" si="11"/>
        <v>4.8399999999999971E-2</v>
      </c>
      <c r="G82">
        <f>ROUND((101*11.98)/(_xlfn.CHISQ.INV(0.55,101)),2)</f>
        <v>11.85</v>
      </c>
      <c r="J82" s="12"/>
      <c r="L82" s="3">
        <v>6.63</v>
      </c>
      <c r="M82" s="3">
        <v>11.55</v>
      </c>
    </row>
    <row r="83" spans="1:13" x14ac:dyDescent="0.25">
      <c r="A83" s="1">
        <v>13.01</v>
      </c>
      <c r="B83" s="6">
        <v>13.06</v>
      </c>
      <c r="C83" s="15">
        <f t="shared" si="10"/>
        <v>7.617599999999998E-2</v>
      </c>
      <c r="D83" s="15">
        <f t="shared" si="11"/>
        <v>5.6643999999999951E-2</v>
      </c>
      <c r="G83">
        <f>ROUND((101*11.98)/(_xlfn.CHISQ.INV(0.45,101)),2)</f>
        <v>12.28</v>
      </c>
      <c r="J83" s="12"/>
      <c r="L83" s="3">
        <v>15.36</v>
      </c>
      <c r="M83" s="3">
        <v>10.82</v>
      </c>
    </row>
    <row r="84" spans="1:13" x14ac:dyDescent="0.25">
      <c r="A84" s="1">
        <v>13.03</v>
      </c>
      <c r="B84" s="6">
        <v>13.08</v>
      </c>
      <c r="C84" s="15">
        <f t="shared" si="10"/>
        <v>9.3024999999999927E-2</v>
      </c>
      <c r="D84" s="15">
        <f t="shared" si="11"/>
        <v>5.9535999999999978E-2</v>
      </c>
      <c r="H84">
        <v>0.95</v>
      </c>
      <c r="I84" t="s">
        <v>46</v>
      </c>
      <c r="J84" s="12"/>
      <c r="L84" s="3">
        <v>7.47</v>
      </c>
      <c r="M84" s="3">
        <v>7.6</v>
      </c>
    </row>
    <row r="85" spans="1:13" x14ac:dyDescent="0.25">
      <c r="A85" s="1">
        <v>13.04</v>
      </c>
      <c r="B85" s="6">
        <v>13.42</v>
      </c>
      <c r="C85" s="15">
        <f t="shared" si="10"/>
        <v>0.10304099999999995</v>
      </c>
      <c r="D85" s="15">
        <f t="shared" si="11"/>
        <v>7.1823999999999985E-2</v>
      </c>
      <c r="G85">
        <f>ROUND((101*11.98)/(_xlfn.CHISQ.INV(0.525,101)),2)</f>
        <v>11.95</v>
      </c>
      <c r="J85" s="12"/>
      <c r="L85" s="3">
        <v>13.03</v>
      </c>
      <c r="M85" s="3">
        <v>4.0199999999999996</v>
      </c>
    </row>
    <row r="86" spans="1:13" x14ac:dyDescent="0.25">
      <c r="A86" s="1">
        <v>13.1</v>
      </c>
      <c r="B86" s="6">
        <v>13.42</v>
      </c>
      <c r="C86" s="15">
        <f t="shared" si="10"/>
        <v>0.10432899999999991</v>
      </c>
      <c r="D86" s="15">
        <f t="shared" si="11"/>
        <v>7.2899999999999965E-2</v>
      </c>
      <c r="G86">
        <f>ROUND((101*11.98)/(_xlfn.CHISQ.INV(0.475,101)),2)</f>
        <v>12.17</v>
      </c>
      <c r="J86" s="12"/>
      <c r="L86" s="3">
        <v>9.5299999999999994</v>
      </c>
      <c r="M86" s="3">
        <v>17.16</v>
      </c>
    </row>
    <row r="87" spans="1:13" x14ac:dyDescent="0.25">
      <c r="A87" s="1">
        <v>13.21</v>
      </c>
      <c r="B87" s="6">
        <v>13.6</v>
      </c>
      <c r="C87" s="15">
        <f t="shared" si="10"/>
        <v>0.1049759999999999</v>
      </c>
      <c r="D87" s="15">
        <f t="shared" si="11"/>
        <v>9.2415999999999943E-2</v>
      </c>
      <c r="H87">
        <v>0.97499999999999998</v>
      </c>
      <c r="I87" t="s">
        <v>47</v>
      </c>
      <c r="J87" s="12"/>
      <c r="L87" s="3">
        <v>11.53</v>
      </c>
      <c r="M87" s="3">
        <v>13.42</v>
      </c>
    </row>
    <row r="88" spans="1:13" x14ac:dyDescent="0.25">
      <c r="A88" s="1">
        <v>13.25</v>
      </c>
      <c r="B88" s="6">
        <v>13.66</v>
      </c>
      <c r="C88" s="15">
        <f t="shared" si="10"/>
        <v>0.10889999999999994</v>
      </c>
      <c r="D88" s="15">
        <f t="shared" si="11"/>
        <v>9.2415999999999943E-2</v>
      </c>
      <c r="G88">
        <f>ROUND((101*11.98)/(_xlfn.CHISQ.INV(0.5125,101)),2)</f>
        <v>12.01</v>
      </c>
      <c r="J88" s="12"/>
      <c r="L88" s="3">
        <v>7.23</v>
      </c>
      <c r="M88" s="3">
        <v>11.08</v>
      </c>
    </row>
    <row r="89" spans="1:13" x14ac:dyDescent="0.25">
      <c r="A89" s="1">
        <v>13.46</v>
      </c>
      <c r="B89" s="6">
        <v>13.74</v>
      </c>
      <c r="C89" s="15">
        <f t="shared" si="10"/>
        <v>0.11628100000000002</v>
      </c>
      <c r="D89" s="15">
        <f t="shared" si="11"/>
        <v>0.10368399999999993</v>
      </c>
      <c r="G89">
        <f>ROUND((101*11.98)/(_xlfn.CHISQ.INV(0.4875,101)),2)</f>
        <v>12.11</v>
      </c>
      <c r="J89" s="12"/>
      <c r="L89" s="3">
        <v>5.68</v>
      </c>
      <c r="M89" s="3">
        <v>9.99</v>
      </c>
    </row>
    <row r="90" spans="1:13" x14ac:dyDescent="0.25">
      <c r="A90" s="1">
        <v>13.58</v>
      </c>
      <c r="B90" s="6">
        <v>13.98</v>
      </c>
      <c r="C90" s="15">
        <f t="shared" si="10"/>
        <v>0.11902499999999995</v>
      </c>
      <c r="D90" s="15">
        <f t="shared" si="11"/>
        <v>0.10758399999999996</v>
      </c>
      <c r="G90" t="s">
        <v>58</v>
      </c>
      <c r="J90" s="12"/>
      <c r="L90" s="3">
        <v>12.56</v>
      </c>
      <c r="M90" s="3">
        <v>6.76</v>
      </c>
    </row>
    <row r="91" spans="1:13" x14ac:dyDescent="0.25">
      <c r="A91" s="1">
        <v>14.1</v>
      </c>
      <c r="B91" s="6">
        <v>14.4</v>
      </c>
      <c r="C91" s="15">
        <f t="shared" si="10"/>
        <v>0.13395600000000002</v>
      </c>
      <c r="D91" s="15">
        <f t="shared" si="11"/>
        <v>0.11289599999999997</v>
      </c>
      <c r="G91">
        <f>ROUND(((I3/101-101*(E21-E20))^2)/(101*(E21-E20)),2)</f>
        <v>230.24</v>
      </c>
      <c r="J91" s="12"/>
      <c r="L91" s="3">
        <v>4.66</v>
      </c>
      <c r="M91" s="3">
        <v>12.55</v>
      </c>
    </row>
    <row r="92" spans="1:13" x14ac:dyDescent="0.25">
      <c r="A92" s="1">
        <v>14.22</v>
      </c>
      <c r="B92" s="6">
        <v>14.5</v>
      </c>
      <c r="C92" s="15">
        <f t="shared" si="10"/>
        <v>0.14288399999999996</v>
      </c>
      <c r="D92" s="15">
        <f t="shared" si="11"/>
        <v>0.12959999999999997</v>
      </c>
      <c r="G92">
        <f>ROUND(((I4/101-101*(E22-E21))^2)/(101*(E22-E21)),2)</f>
        <v>230.16</v>
      </c>
      <c r="J92" s="12"/>
      <c r="L92" s="3">
        <v>12.54</v>
      </c>
      <c r="M92" s="3">
        <v>11.49</v>
      </c>
    </row>
    <row r="93" spans="1:13" x14ac:dyDescent="0.25">
      <c r="A93" s="1">
        <v>14.47</v>
      </c>
      <c r="B93" s="6">
        <v>14.62</v>
      </c>
      <c r="C93" s="15">
        <f t="shared" si="10"/>
        <v>0.18489999999999993</v>
      </c>
      <c r="D93" s="15">
        <f t="shared" si="11"/>
        <v>0.16160399999999997</v>
      </c>
      <c r="G93">
        <f t="shared" ref="G93:G97" si="12">ROUND(((I5/101-101*(E23-E22))^2)/(101*(E23-E22)),2)</f>
        <v>229.96</v>
      </c>
      <c r="J93" s="12"/>
      <c r="L93" s="3">
        <v>15.45</v>
      </c>
      <c r="M93" s="3">
        <v>7.83</v>
      </c>
    </row>
    <row r="94" spans="1:13" x14ac:dyDescent="0.25">
      <c r="A94" s="1">
        <v>14.48</v>
      </c>
      <c r="B94" s="6">
        <v>14.79</v>
      </c>
      <c r="C94" s="15">
        <f t="shared" si="10"/>
        <v>0.19536400000000001</v>
      </c>
      <c r="D94" s="15">
        <f t="shared" si="11"/>
        <v>0.16974399999999992</v>
      </c>
      <c r="G94">
        <f t="shared" si="12"/>
        <v>229.8</v>
      </c>
      <c r="I94">
        <v>0.9</v>
      </c>
      <c r="J94" s="12"/>
      <c r="L94" s="3">
        <v>13.01</v>
      </c>
      <c r="M94" s="3">
        <v>9.07</v>
      </c>
    </row>
    <row r="95" spans="1:13" x14ac:dyDescent="0.25">
      <c r="A95" s="1">
        <v>14.49</v>
      </c>
      <c r="B95" s="6">
        <v>14.99</v>
      </c>
      <c r="C95" s="15">
        <f t="shared" si="10"/>
        <v>0.21808899999999998</v>
      </c>
      <c r="D95" s="15">
        <f t="shared" si="11"/>
        <v>0.17977599999999988</v>
      </c>
      <c r="G95">
        <f t="shared" si="12"/>
        <v>229.73</v>
      </c>
      <c r="I95">
        <v>0.95</v>
      </c>
      <c r="J95" s="12"/>
      <c r="L95" s="3">
        <v>9.35</v>
      </c>
      <c r="M95" s="3">
        <v>14.4</v>
      </c>
    </row>
    <row r="96" spans="1:13" x14ac:dyDescent="0.25">
      <c r="A96" s="1">
        <v>14.71</v>
      </c>
      <c r="B96" s="6">
        <v>15.23</v>
      </c>
      <c r="C96" s="15">
        <f t="shared" si="10"/>
        <v>0.21902399999999997</v>
      </c>
      <c r="D96" s="15">
        <f t="shared" si="11"/>
        <v>0.19448099999999985</v>
      </c>
      <c r="G96">
        <f t="shared" si="12"/>
        <v>229.96</v>
      </c>
      <c r="I96">
        <v>0.97499999999999998</v>
      </c>
      <c r="J96" s="12"/>
      <c r="L96" s="3">
        <v>6.32</v>
      </c>
      <c r="M96" s="3">
        <v>5.86</v>
      </c>
    </row>
    <row r="97" spans="1:13" x14ac:dyDescent="0.25">
      <c r="A97" s="1">
        <v>14.76</v>
      </c>
      <c r="B97" s="6">
        <v>15.37</v>
      </c>
      <c r="C97" s="15">
        <f t="shared" si="10"/>
        <v>0.21996099999999996</v>
      </c>
      <c r="D97" s="15">
        <f t="shared" si="11"/>
        <v>0.21252099999999996</v>
      </c>
      <c r="G97">
        <f t="shared" si="12"/>
        <v>230.2</v>
      </c>
      <c r="J97" s="12"/>
      <c r="L97" s="3">
        <v>13.46</v>
      </c>
      <c r="M97" s="3">
        <v>6.08</v>
      </c>
    </row>
    <row r="98" spans="1:13" x14ac:dyDescent="0.25">
      <c r="A98" s="1">
        <v>14.82</v>
      </c>
      <c r="B98" s="6">
        <v>16.489999999999998</v>
      </c>
      <c r="C98" s="15">
        <f t="shared" si="10"/>
        <v>0.24108099999999999</v>
      </c>
      <c r="D98" s="15">
        <f t="shared" si="11"/>
        <v>0.23522499999999996</v>
      </c>
      <c r="G98">
        <f>ROUND(((I10/101-101*(E28-E27))^2)/(101*(E28-E27)),2)</f>
        <v>230.18</v>
      </c>
      <c r="J98" s="12"/>
      <c r="L98" s="3">
        <v>14.48</v>
      </c>
      <c r="M98" s="3">
        <v>6.1</v>
      </c>
    </row>
    <row r="99" spans="1:13" x14ac:dyDescent="0.25">
      <c r="A99" s="1">
        <v>15.01</v>
      </c>
      <c r="B99" s="6">
        <v>17.16</v>
      </c>
      <c r="C99" s="15">
        <f t="shared" si="10"/>
        <v>0.2460159999999999</v>
      </c>
      <c r="D99" s="15">
        <f t="shared" si="11"/>
        <v>0.24900099999999983</v>
      </c>
      <c r="G99">
        <f>SUM(G91:G98)</f>
        <v>1840.2300000000002</v>
      </c>
      <c r="J99" s="12"/>
      <c r="L99" s="3">
        <v>9.7899999999999991</v>
      </c>
      <c r="M99" s="3">
        <v>6.51</v>
      </c>
    </row>
    <row r="100" spans="1:13" x14ac:dyDescent="0.25">
      <c r="A100" s="1">
        <v>15.36</v>
      </c>
      <c r="B100" s="6">
        <v>17.55</v>
      </c>
      <c r="C100" s="15">
        <f t="shared" si="10"/>
        <v>0.25200399999999995</v>
      </c>
      <c r="D100" s="15">
        <f t="shared" si="11"/>
        <v>0.37332099999999968</v>
      </c>
      <c r="J100" s="12"/>
      <c r="L100" s="3">
        <v>4.93</v>
      </c>
      <c r="M100" s="3">
        <v>10.56</v>
      </c>
    </row>
    <row r="101" spans="1:13" x14ac:dyDescent="0.25">
      <c r="A101" s="1">
        <v>15.39</v>
      </c>
      <c r="B101" s="6">
        <v>17.96</v>
      </c>
      <c r="C101" s="15">
        <f t="shared" ref="C101:C105" si="13">((A99-9.8)^2)/100</f>
        <v>0.27144099999999993</v>
      </c>
      <c r="D101" s="15">
        <f t="shared" ref="D101:D105" si="14">((B99-10.38)^2)/100</f>
        <v>0.45968399999999987</v>
      </c>
      <c r="J101" s="12"/>
      <c r="L101" s="3">
        <v>9.1300000000000008</v>
      </c>
      <c r="M101" s="3">
        <v>11.26</v>
      </c>
    </row>
    <row r="102" spans="1:13" x14ac:dyDescent="0.25">
      <c r="A102" s="1">
        <v>15.45</v>
      </c>
      <c r="B102" s="6">
        <v>18.79</v>
      </c>
      <c r="C102" s="15">
        <f t="shared" si="13"/>
        <v>0.30913599999999986</v>
      </c>
      <c r="D102" s="15">
        <f t="shared" si="14"/>
        <v>0.51408899999999991</v>
      </c>
      <c r="G102" t="s">
        <v>59</v>
      </c>
      <c r="J102" s="12"/>
      <c r="L102" s="3">
        <v>9.67</v>
      </c>
      <c r="M102" s="3">
        <v>11.23</v>
      </c>
    </row>
    <row r="103" spans="1:13" x14ac:dyDescent="0.25">
      <c r="A103" s="3">
        <v>15.64</v>
      </c>
      <c r="B103" s="6">
        <v>19.350000000000001</v>
      </c>
      <c r="C103" s="15">
        <f t="shared" si="13"/>
        <v>0.31248099999999995</v>
      </c>
      <c r="D103" s="15">
        <f t="shared" si="14"/>
        <v>0.57456400000000007</v>
      </c>
      <c r="G103">
        <f>9-9</f>
        <v>0</v>
      </c>
      <c r="J103" s="12"/>
      <c r="L103" s="3">
        <v>11.24</v>
      </c>
      <c r="M103" s="3">
        <v>10.41</v>
      </c>
    </row>
    <row r="104" spans="1:13" x14ac:dyDescent="0.25">
      <c r="A104" s="5"/>
      <c r="B104" s="5"/>
      <c r="C104" s="15">
        <f t="shared" si="13"/>
        <v>0.31922499999999987</v>
      </c>
      <c r="D104" s="15">
        <f t="shared" si="14"/>
        <v>0.70728099999999972</v>
      </c>
      <c r="J104" s="5"/>
      <c r="L104" s="5"/>
      <c r="M104" s="5"/>
    </row>
    <row r="105" spans="1:13" x14ac:dyDescent="0.25">
      <c r="A105" s="5"/>
      <c r="B105" s="5"/>
      <c r="C105" s="15">
        <f t="shared" si="13"/>
        <v>0.34105599999999997</v>
      </c>
      <c r="D105" s="15">
        <f t="shared" si="14"/>
        <v>0.80460900000000013</v>
      </c>
      <c r="J105" s="5"/>
      <c r="L105" s="5"/>
      <c r="M105" s="5"/>
    </row>
    <row r="106" spans="1:13" x14ac:dyDescent="0.25">
      <c r="C106" s="19">
        <f>SUM(C5:C105)</f>
        <v>10.532427999999998</v>
      </c>
      <c r="D106" s="15">
        <f>ROUND(SUM(D5:D105),2)</f>
        <v>12.3</v>
      </c>
    </row>
    <row r="109" spans="1:13" x14ac:dyDescent="0.25">
      <c r="A109" s="15">
        <f>((A3-9.8)^3)/101</f>
        <v>-1.638308405940595</v>
      </c>
      <c r="C109" s="15">
        <f>((B3-10.38)^3)/101</f>
        <v>-7.7854501683168325</v>
      </c>
      <c r="E109">
        <f>((A3-9.8)^4)/101</f>
        <v>8.9943131486138679</v>
      </c>
      <c r="G109">
        <f>((B3-10.38)^4)/101</f>
        <v>71.859705053564369</v>
      </c>
    </row>
    <row r="110" spans="1:13" x14ac:dyDescent="0.25">
      <c r="A110" s="15">
        <f>((A4-9.8)^3)/101</f>
        <v>-1.6293721980198024</v>
      </c>
      <c r="C110" s="15">
        <f t="shared" ref="C110:C173" si="15">((B4-10.38)^3)/101</f>
        <v>-6.9798910891089117</v>
      </c>
      <c r="E110">
        <f>((A4-9.8)^4)/101</f>
        <v>8.9289596451485167</v>
      </c>
      <c r="G110">
        <f t="shared" ref="G110:G173" si="16">((B4-10.38)^4)/101</f>
        <v>62.121030693069322</v>
      </c>
    </row>
    <row r="111" spans="1:13" x14ac:dyDescent="0.25">
      <c r="A111" s="15">
        <f t="shared" ref="A111:A174" si="17">((A5-9.8)^3)/101</f>
        <v>-1.4002055544554461</v>
      </c>
      <c r="C111" s="15">
        <f t="shared" si="15"/>
        <v>-2.7822908415841594</v>
      </c>
      <c r="E111">
        <f t="shared" ref="E111:E173" si="18">((A5-9.8)^4)/101</f>
        <v>7.2950709387128763</v>
      </c>
      <c r="G111">
        <f t="shared" si="16"/>
        <v>18.224005012376246</v>
      </c>
    </row>
    <row r="112" spans="1:13" x14ac:dyDescent="0.25">
      <c r="A112" s="15">
        <f t="shared" si="17"/>
        <v>-1.368202108910892</v>
      </c>
      <c r="C112" s="15">
        <f t="shared" si="15"/>
        <v>-2.6076705049504953</v>
      </c>
      <c r="E112">
        <f t="shared" si="18"/>
        <v>7.0736049030693122</v>
      </c>
      <c r="G112">
        <f t="shared" si="16"/>
        <v>16.715167936732676</v>
      </c>
    </row>
    <row r="113" spans="1:7" x14ac:dyDescent="0.25">
      <c r="A113" s="15">
        <f t="shared" si="17"/>
        <v>-1.3445222178217826</v>
      </c>
      <c r="C113" s="15">
        <f t="shared" si="15"/>
        <v>-2.5471233267326752</v>
      </c>
      <c r="E113">
        <f t="shared" si="18"/>
        <v>6.9108441996039645</v>
      </c>
      <c r="G113">
        <f t="shared" si="16"/>
        <v>16.199704358019815</v>
      </c>
    </row>
    <row r="114" spans="1:7" x14ac:dyDescent="0.25">
      <c r="A114" s="15">
        <f t="shared" si="17"/>
        <v>-1.3445222178217826</v>
      </c>
      <c r="C114" s="15">
        <f t="shared" si="15"/>
        <v>-1.4740297029702978</v>
      </c>
      <c r="E114">
        <f t="shared" si="18"/>
        <v>6.9108441996039645</v>
      </c>
      <c r="G114">
        <f t="shared" si="16"/>
        <v>7.8123574257425785</v>
      </c>
    </row>
    <row r="115" spans="1:7" x14ac:dyDescent="0.25">
      <c r="A115" s="15">
        <f t="shared" si="17"/>
        <v>-1.2376237623762383</v>
      </c>
      <c r="C115" s="15">
        <f t="shared" si="15"/>
        <v>-1.1018281287128717</v>
      </c>
      <c r="E115">
        <f t="shared" si="18"/>
        <v>6.1881188118811918</v>
      </c>
      <c r="G115">
        <f t="shared" si="16"/>
        <v>5.2997932991089138</v>
      </c>
    </row>
    <row r="116" spans="1:7" x14ac:dyDescent="0.25">
      <c r="A116" s="15">
        <f t="shared" si="17"/>
        <v>-1.1936018217821787</v>
      </c>
      <c r="C116" s="15">
        <f t="shared" si="15"/>
        <v>-1.0083917128712876</v>
      </c>
      <c r="E116">
        <f t="shared" si="18"/>
        <v>5.8963929996039628</v>
      </c>
      <c r="G116">
        <f t="shared" si="16"/>
        <v>4.7091892991089148</v>
      </c>
    </row>
    <row r="117" spans="1:7" x14ac:dyDescent="0.25">
      <c r="A117" s="15">
        <f t="shared" si="17"/>
        <v>-1.1435772574257432</v>
      </c>
      <c r="C117" s="15">
        <f t="shared" si="15"/>
        <v>-0.91431097029703001</v>
      </c>
      <c r="E117">
        <f t="shared" si="18"/>
        <v>5.569221243663371</v>
      </c>
      <c r="G117">
        <f t="shared" si="16"/>
        <v>4.1326855857425766</v>
      </c>
    </row>
    <row r="118" spans="1:7" x14ac:dyDescent="0.25">
      <c r="A118" s="15">
        <f t="shared" si="17"/>
        <v>-1.1087145346534655</v>
      </c>
      <c r="C118" s="15">
        <f t="shared" si="15"/>
        <v>-0.88430319801980239</v>
      </c>
      <c r="E118">
        <f t="shared" si="18"/>
        <v>5.3440040570297036</v>
      </c>
      <c r="G118">
        <f t="shared" si="16"/>
        <v>3.9528352951485171</v>
      </c>
    </row>
    <row r="119" spans="1:7" x14ac:dyDescent="0.25">
      <c r="A119" s="15">
        <f t="shared" si="17"/>
        <v>-1.0745676534653468</v>
      </c>
      <c r="C119" s="15">
        <f t="shared" si="15"/>
        <v>-0.79270288118811905</v>
      </c>
      <c r="E119">
        <f t="shared" si="18"/>
        <v>5.1256877070297042</v>
      </c>
      <c r="G119">
        <f t="shared" si="16"/>
        <v>3.4165494179207934</v>
      </c>
    </row>
    <row r="120" spans="1:7" x14ac:dyDescent="0.25">
      <c r="A120" s="15">
        <f t="shared" si="17"/>
        <v>-0.98908261386138641</v>
      </c>
      <c r="C120" s="15">
        <f t="shared" si="15"/>
        <v>-0.78719801980198056</v>
      </c>
      <c r="E120">
        <f t="shared" si="18"/>
        <v>4.5893433283168346</v>
      </c>
      <c r="G120">
        <f t="shared" si="16"/>
        <v>3.384951485148517</v>
      </c>
    </row>
    <row r="121" spans="1:7" x14ac:dyDescent="0.25">
      <c r="A121" s="15">
        <f t="shared" si="17"/>
        <v>-0.79823334653465361</v>
      </c>
      <c r="C121" s="15">
        <f t="shared" si="15"/>
        <v>-0.77626487128712929</v>
      </c>
      <c r="E121">
        <f t="shared" si="18"/>
        <v>3.4483680570297039</v>
      </c>
      <c r="G121">
        <f t="shared" si="16"/>
        <v>3.3224136491089147</v>
      </c>
    </row>
    <row r="122" spans="1:7" x14ac:dyDescent="0.25">
      <c r="A122" s="15">
        <f t="shared" si="17"/>
        <v>-0.76543342574257445</v>
      </c>
      <c r="C122" s="15">
        <f t="shared" si="15"/>
        <v>-0.69747521782178257</v>
      </c>
      <c r="E122">
        <f t="shared" si="18"/>
        <v>3.2607463936633683</v>
      </c>
      <c r="G122">
        <f t="shared" si="16"/>
        <v>2.8805726496039625</v>
      </c>
    </row>
    <row r="123" spans="1:7" x14ac:dyDescent="0.25">
      <c r="A123" s="15">
        <f t="shared" si="17"/>
        <v>-0.70255390099009929</v>
      </c>
      <c r="C123" s="15">
        <f t="shared" si="15"/>
        <v>-0.57386735643564402</v>
      </c>
      <c r="E123">
        <f t="shared" si="18"/>
        <v>2.9085731500990115</v>
      </c>
      <c r="G123">
        <f t="shared" si="16"/>
        <v>2.2208666694059431</v>
      </c>
    </row>
    <row r="124" spans="1:7" x14ac:dyDescent="0.25">
      <c r="A124" s="15">
        <f t="shared" si="17"/>
        <v>-0.69242106930693126</v>
      </c>
      <c r="C124" s="15">
        <f t="shared" si="15"/>
        <v>-0.56943025742574316</v>
      </c>
      <c r="E124">
        <f t="shared" si="18"/>
        <v>2.8527748055445574</v>
      </c>
      <c r="G124">
        <f t="shared" si="16"/>
        <v>2.1980007936633696</v>
      </c>
    </row>
    <row r="125" spans="1:7" x14ac:dyDescent="0.25">
      <c r="A125" s="15">
        <f t="shared" si="17"/>
        <v>-0.62420586138613887</v>
      </c>
      <c r="C125" s="15">
        <f t="shared" si="15"/>
        <v>-0.46968245544554499</v>
      </c>
      <c r="E125">
        <f t="shared" si="18"/>
        <v>2.4843393283168331</v>
      </c>
      <c r="G125">
        <f t="shared" si="16"/>
        <v>1.7002504887128731</v>
      </c>
    </row>
    <row r="126" spans="1:7" x14ac:dyDescent="0.25">
      <c r="A126" s="15">
        <f t="shared" si="17"/>
        <v>-0.54758753465346555</v>
      </c>
      <c r="C126" s="15">
        <f t="shared" si="15"/>
        <v>-0.45048804950495092</v>
      </c>
      <c r="E126">
        <f t="shared" si="18"/>
        <v>2.0863085070297038</v>
      </c>
      <c r="G126">
        <f t="shared" si="16"/>
        <v>1.6082423367326755</v>
      </c>
    </row>
    <row r="127" spans="1:7" x14ac:dyDescent="0.25">
      <c r="A127" s="15">
        <f t="shared" si="17"/>
        <v>-0.41726922772277247</v>
      </c>
      <c r="C127" s="15">
        <f t="shared" si="15"/>
        <v>-0.44295915841584177</v>
      </c>
      <c r="E127">
        <f t="shared" si="18"/>
        <v>1.4520969124752485</v>
      </c>
      <c r="G127">
        <f t="shared" si="16"/>
        <v>1.5725050123762387</v>
      </c>
    </row>
    <row r="128" spans="1:7" x14ac:dyDescent="0.25">
      <c r="A128" s="15">
        <f t="shared" si="17"/>
        <v>-0.38232150495049533</v>
      </c>
      <c r="C128" s="15">
        <f t="shared" si="15"/>
        <v>-0.32748674257425769</v>
      </c>
      <c r="E128">
        <f t="shared" si="18"/>
        <v>1.2922466867326745</v>
      </c>
      <c r="G128">
        <f t="shared" si="16"/>
        <v>1.0512324436633675</v>
      </c>
    </row>
    <row r="129" spans="1:7" x14ac:dyDescent="0.25">
      <c r="A129" s="15">
        <f t="shared" si="17"/>
        <v>-0.35581188118811902</v>
      </c>
      <c r="C129" s="15">
        <f t="shared" si="15"/>
        <v>-0.30652617821782197</v>
      </c>
      <c r="E129">
        <f t="shared" si="18"/>
        <v>1.1741792079207929</v>
      </c>
      <c r="G129">
        <f t="shared" si="16"/>
        <v>0.96249219960396115</v>
      </c>
    </row>
    <row r="130" spans="1:7" x14ac:dyDescent="0.25">
      <c r="A130" s="15">
        <f t="shared" si="17"/>
        <v>-0.31539616831683193</v>
      </c>
      <c r="C130" s="15">
        <f t="shared" si="15"/>
        <v>-0.21272229702970322</v>
      </c>
      <c r="E130">
        <f t="shared" si="18"/>
        <v>0.99980585356435747</v>
      </c>
      <c r="G130">
        <f t="shared" si="16"/>
        <v>0.59136798574257521</v>
      </c>
    </row>
    <row r="131" spans="1:7" x14ac:dyDescent="0.25">
      <c r="A131" s="15">
        <f t="shared" si="17"/>
        <v>-0.22679508910891105</v>
      </c>
      <c r="C131" s="15">
        <f t="shared" si="15"/>
        <v>-0.16417202970297046</v>
      </c>
      <c r="E131">
        <f t="shared" si="18"/>
        <v>0.64409805306930745</v>
      </c>
      <c r="G131">
        <f t="shared" si="16"/>
        <v>0.4186386757425748</v>
      </c>
    </row>
    <row r="132" spans="1:7" x14ac:dyDescent="0.25">
      <c r="A132" s="15">
        <f t="shared" si="17"/>
        <v>-0.20590965346534676</v>
      </c>
      <c r="C132" s="15">
        <f t="shared" si="15"/>
        <v>-0.15656684158415854</v>
      </c>
      <c r="E132">
        <f t="shared" si="18"/>
        <v>0.56625154702970371</v>
      </c>
      <c r="G132">
        <f t="shared" si="16"/>
        <v>0.39298277237623797</v>
      </c>
    </row>
    <row r="133" spans="1:7" x14ac:dyDescent="0.25">
      <c r="A133" s="15">
        <f t="shared" si="17"/>
        <v>-0.20144967326732682</v>
      </c>
      <c r="C133" s="15">
        <f t="shared" si="15"/>
        <v>-0.10542574257425756</v>
      </c>
      <c r="E133">
        <f t="shared" si="18"/>
        <v>0.54995760801980231</v>
      </c>
      <c r="G133">
        <f t="shared" si="16"/>
        <v>0.23193663366336675</v>
      </c>
    </row>
    <row r="134" spans="1:7" x14ac:dyDescent="0.25">
      <c r="A134" s="15">
        <f t="shared" si="17"/>
        <v>-0.16806527722772283</v>
      </c>
      <c r="C134" s="15">
        <f t="shared" si="15"/>
        <v>-6.0678089108910899E-2</v>
      </c>
      <c r="E134">
        <f t="shared" si="18"/>
        <v>0.43192776247524778</v>
      </c>
      <c r="G134">
        <f t="shared" si="16"/>
        <v>0.11104090306930696</v>
      </c>
    </row>
    <row r="135" spans="1:7" x14ac:dyDescent="0.25">
      <c r="A135" s="15">
        <f t="shared" si="17"/>
        <v>-0.16224815841584175</v>
      </c>
      <c r="C135" s="15">
        <f t="shared" si="15"/>
        <v>-5.9688792079207943E-2</v>
      </c>
      <c r="E135">
        <f t="shared" si="18"/>
        <v>0.41211032237623818</v>
      </c>
      <c r="G135">
        <f t="shared" si="16"/>
        <v>0.10863360158415848</v>
      </c>
    </row>
    <row r="136" spans="1:7" x14ac:dyDescent="0.25">
      <c r="A136" s="15">
        <f t="shared" si="17"/>
        <v>-0.14920022772277239</v>
      </c>
      <c r="C136" s="15">
        <f t="shared" si="15"/>
        <v>-4.4476485148514877E-2</v>
      </c>
      <c r="E136">
        <f t="shared" si="18"/>
        <v>0.3685245624752479</v>
      </c>
      <c r="G136">
        <f t="shared" si="16"/>
        <v>7.3386200495049556E-2</v>
      </c>
    </row>
    <row r="137" spans="1:7" x14ac:dyDescent="0.25">
      <c r="A137" s="15">
        <f t="shared" si="17"/>
        <v>-0.13858931683168335</v>
      </c>
      <c r="C137" s="15">
        <f t="shared" si="15"/>
        <v>-3.2096950495049535E-2</v>
      </c>
      <c r="E137">
        <f t="shared" si="18"/>
        <v>0.33400025356435703</v>
      </c>
      <c r="G137">
        <f t="shared" si="16"/>
        <v>4.7503486732673315E-2</v>
      </c>
    </row>
    <row r="138" spans="1:7" x14ac:dyDescent="0.25">
      <c r="A138" s="15">
        <f t="shared" si="17"/>
        <v>-0.12524096039603974</v>
      </c>
      <c r="C138" s="15">
        <f t="shared" si="15"/>
        <v>-2.2771960396039619E-2</v>
      </c>
      <c r="E138">
        <f t="shared" si="18"/>
        <v>0.29181143772277274</v>
      </c>
      <c r="G138">
        <f t="shared" si="16"/>
        <v>3.0058987722772303E-2</v>
      </c>
    </row>
    <row r="139" spans="1:7" x14ac:dyDescent="0.25">
      <c r="A139" s="15">
        <f t="shared" si="17"/>
        <v>-7.2290930693069355E-2</v>
      </c>
      <c r="C139" s="15">
        <f t="shared" si="15"/>
        <v>-2.2258326732673295E-2</v>
      </c>
      <c r="E139">
        <f t="shared" si="18"/>
        <v>0.14024440554455456</v>
      </c>
      <c r="G139">
        <f t="shared" si="16"/>
        <v>2.9158408019802025E-2</v>
      </c>
    </row>
    <row r="140" spans="1:7" x14ac:dyDescent="0.25">
      <c r="A140" s="15">
        <f t="shared" si="17"/>
        <v>-5.7742574257425815E-2</v>
      </c>
      <c r="C140" s="15">
        <f t="shared" si="15"/>
        <v>-2.1254346534653513E-2</v>
      </c>
      <c r="E140">
        <f t="shared" si="18"/>
        <v>0.1039366336633665</v>
      </c>
      <c r="G140">
        <f t="shared" si="16"/>
        <v>2.741810702970305E-2</v>
      </c>
    </row>
    <row r="141" spans="1:7" x14ac:dyDescent="0.25">
      <c r="A141" s="15">
        <f t="shared" si="17"/>
        <v>-5.7742574257425815E-2</v>
      </c>
      <c r="C141" s="15">
        <f t="shared" si="15"/>
        <v>-1.5857554455445542E-2</v>
      </c>
      <c r="E141">
        <f t="shared" si="18"/>
        <v>0.1039366336633665</v>
      </c>
      <c r="G141">
        <f t="shared" si="16"/>
        <v>1.8553338712871282E-2</v>
      </c>
    </row>
    <row r="142" spans="1:7" x14ac:dyDescent="0.25">
      <c r="A142" s="15">
        <f t="shared" si="17"/>
        <v>-4.367271287128717E-2</v>
      </c>
      <c r="C142" s="15">
        <f t="shared" si="15"/>
        <v>-1.4668752475247546E-2</v>
      </c>
      <c r="E142">
        <f t="shared" si="18"/>
        <v>7.1623249108910991E-2</v>
      </c>
      <c r="G142">
        <f t="shared" si="16"/>
        <v>1.6722377821782208E-2</v>
      </c>
    </row>
    <row r="143" spans="1:7" x14ac:dyDescent="0.25">
      <c r="A143" s="15">
        <f t="shared" si="17"/>
        <v>-4.1319613861386231E-2</v>
      </c>
      <c r="C143" s="15">
        <f t="shared" si="15"/>
        <v>-1.4668752475247546E-2</v>
      </c>
      <c r="E143">
        <f t="shared" si="18"/>
        <v>6.6524578316831881E-2</v>
      </c>
      <c r="G143">
        <f t="shared" si="16"/>
        <v>1.6722377821782208E-2</v>
      </c>
    </row>
    <row r="144" spans="1:7" x14ac:dyDescent="0.25">
      <c r="A144" s="15">
        <f t="shared" si="17"/>
        <v>-2.6020514851485193E-2</v>
      </c>
      <c r="C144" s="15">
        <f t="shared" si="15"/>
        <v>-1.1792237623762393E-2</v>
      </c>
      <c r="E144">
        <f t="shared" si="18"/>
        <v>3.5908310495049583E-2</v>
      </c>
      <c r="G144">
        <f t="shared" si="16"/>
        <v>1.2499771881188141E-2</v>
      </c>
    </row>
    <row r="145" spans="1:7" x14ac:dyDescent="0.25">
      <c r="A145" s="15">
        <f t="shared" si="17"/>
        <v>-1.6684742574257481E-2</v>
      </c>
      <c r="C145" s="15">
        <f t="shared" si="15"/>
        <v>-9.9009900990099011E-3</v>
      </c>
      <c r="E145">
        <f t="shared" si="18"/>
        <v>1.9854843663366421E-2</v>
      </c>
      <c r="G145">
        <f t="shared" si="16"/>
        <v>9.9009900990099011E-3</v>
      </c>
    </row>
    <row r="146" spans="1:7" x14ac:dyDescent="0.25">
      <c r="A146" s="15">
        <f t="shared" si="17"/>
        <v>-1.1137267326732703E-2</v>
      </c>
      <c r="C146" s="15">
        <f t="shared" si="15"/>
        <v>-7.7097821782178199E-3</v>
      </c>
      <c r="E146">
        <f t="shared" si="18"/>
        <v>1.158275801980202E-2</v>
      </c>
      <c r="G146">
        <f t="shared" si="16"/>
        <v>7.0929996039603939E-3</v>
      </c>
    </row>
    <row r="147" spans="1:7" x14ac:dyDescent="0.25">
      <c r="A147" s="15">
        <f t="shared" si="17"/>
        <v>-1.0201000000000047E-2</v>
      </c>
      <c r="C147" s="15">
        <f t="shared" si="15"/>
        <v>-6.9798910891089245E-3</v>
      </c>
      <c r="E147">
        <f t="shared" si="18"/>
        <v>1.0303010000000064E-2</v>
      </c>
      <c r="G147">
        <f t="shared" si="16"/>
        <v>6.2121030693069474E-3</v>
      </c>
    </row>
    <row r="148" spans="1:7" x14ac:dyDescent="0.25">
      <c r="A148" s="15">
        <f t="shared" si="17"/>
        <v>-8.4888613861386422E-3</v>
      </c>
      <c r="C148" s="15">
        <f t="shared" si="15"/>
        <v>-6.7472475247524937E-3</v>
      </c>
      <c r="E148">
        <f t="shared" si="18"/>
        <v>8.0644183168317209E-3</v>
      </c>
      <c r="G148">
        <f t="shared" si="16"/>
        <v>5.9375778217821999E-3</v>
      </c>
    </row>
    <row r="149" spans="1:7" x14ac:dyDescent="0.25">
      <c r="A149" s="15">
        <f t="shared" si="17"/>
        <v>-6.5198316831683381E-3</v>
      </c>
      <c r="C149" s="15">
        <f t="shared" si="15"/>
        <v>-4.6985346534653676E-3</v>
      </c>
      <c r="E149">
        <f t="shared" si="18"/>
        <v>5.6722535643564604E-3</v>
      </c>
      <c r="G149">
        <f t="shared" si="16"/>
        <v>3.6648570297029923E-3</v>
      </c>
    </row>
    <row r="150" spans="1:7" x14ac:dyDescent="0.25">
      <c r="A150" s="15">
        <f t="shared" si="17"/>
        <v>-4.88157425742576E-3</v>
      </c>
      <c r="C150" s="15">
        <f t="shared" si="15"/>
        <v>-3.5436732673267456E-3</v>
      </c>
      <c r="E150">
        <f t="shared" si="18"/>
        <v>3.8564436633663547E-3</v>
      </c>
      <c r="G150">
        <f t="shared" si="16"/>
        <v>2.5160080198019926E-3</v>
      </c>
    </row>
    <row r="151" spans="1:7" x14ac:dyDescent="0.25">
      <c r="A151" s="15">
        <f t="shared" si="17"/>
        <v>-2.9778514851485139E-3</v>
      </c>
      <c r="C151" s="15">
        <f t="shared" si="15"/>
        <v>-5.8731683168317095E-4</v>
      </c>
      <c r="E151">
        <f t="shared" si="18"/>
        <v>1.9951604950495042E-3</v>
      </c>
      <c r="G151">
        <f t="shared" si="16"/>
        <v>2.2905356435643702E-4</v>
      </c>
    </row>
    <row r="152" spans="1:7" x14ac:dyDescent="0.25">
      <c r="A152" s="15">
        <f t="shared" si="17"/>
        <v>-1.7387722772277273E-3</v>
      </c>
      <c r="C152" s="15">
        <f t="shared" si="15"/>
        <v>-4.6194059405941064E-4</v>
      </c>
      <c r="E152">
        <f t="shared" si="18"/>
        <v>9.7371247524752813E-4</v>
      </c>
      <c r="G152">
        <f t="shared" si="16"/>
        <v>1.6629861386138842E-4</v>
      </c>
    </row>
    <row r="153" spans="1:7" x14ac:dyDescent="0.25">
      <c r="A153" s="15">
        <f t="shared" si="17"/>
        <v>-1.1648415841584174E-3</v>
      </c>
      <c r="C153" s="15">
        <f t="shared" si="15"/>
        <v>-2.9496039603960539E-4</v>
      </c>
      <c r="E153">
        <f t="shared" si="18"/>
        <v>5.707723762376247E-4</v>
      </c>
      <c r="G153">
        <f t="shared" si="16"/>
        <v>9.1437722772277818E-5</v>
      </c>
    </row>
    <row r="154" spans="1:7" x14ac:dyDescent="0.25">
      <c r="A154" s="15">
        <f t="shared" si="17"/>
        <v>-9.0222772277228367E-4</v>
      </c>
      <c r="C154" s="15">
        <f t="shared" si="15"/>
        <v>-1.547029702970297E-4</v>
      </c>
      <c r="E154">
        <f t="shared" si="18"/>
        <v>4.0600247524752859E-4</v>
      </c>
      <c r="G154">
        <f t="shared" si="16"/>
        <v>3.8675742574257426E-5</v>
      </c>
    </row>
    <row r="155" spans="1:7" x14ac:dyDescent="0.25">
      <c r="A155" s="15">
        <f t="shared" si="17"/>
        <v>-5.4328712871287461E-4</v>
      </c>
      <c r="C155" s="15">
        <f t="shared" si="15"/>
        <v>-1.3687128712871325E-4</v>
      </c>
      <c r="E155">
        <f t="shared" si="18"/>
        <v>2.0644910891089277E-4</v>
      </c>
      <c r="G155">
        <f t="shared" si="16"/>
        <v>3.2849108910891207E-5</v>
      </c>
    </row>
    <row r="156" spans="1:7" x14ac:dyDescent="0.25">
      <c r="A156" s="15">
        <f t="shared" si="17"/>
        <v>-3.2443564356435733E-4</v>
      </c>
      <c r="C156" s="15">
        <f t="shared" si="15"/>
        <v>-3.3415841584158649E-5</v>
      </c>
      <c r="E156">
        <f t="shared" si="18"/>
        <v>1.0381940594059444E-4</v>
      </c>
      <c r="G156">
        <f t="shared" si="16"/>
        <v>5.0123762376238107E-6</v>
      </c>
    </row>
    <row r="157" spans="1:7" x14ac:dyDescent="0.25">
      <c r="A157" s="15">
        <f t="shared" si="17"/>
        <v>-1.9488118811881479E-4</v>
      </c>
      <c r="C157" s="15">
        <f t="shared" si="15"/>
        <v>-1.2376237623762906E-6</v>
      </c>
      <c r="E157">
        <f t="shared" si="18"/>
        <v>5.261792079208026E-5</v>
      </c>
      <c r="G157">
        <f t="shared" si="16"/>
        <v>6.1881188118815406E-8</v>
      </c>
    </row>
    <row r="158" spans="1:7" x14ac:dyDescent="0.25">
      <c r="A158" s="15">
        <f t="shared" si="17"/>
        <v>-2.1752475247525145E-5</v>
      </c>
      <c r="C158" s="15">
        <f t="shared" si="15"/>
        <v>2.6732673267325022E-7</v>
      </c>
      <c r="E158">
        <f t="shared" si="18"/>
        <v>2.8278217821782859E-6</v>
      </c>
      <c r="G158">
        <f t="shared" si="16"/>
        <v>8.0198019801973356E-9</v>
      </c>
    </row>
    <row r="159" spans="1:7" x14ac:dyDescent="0.25">
      <c r="A159" s="15">
        <f t="shared" si="17"/>
        <v>-2.673267326732977E-7</v>
      </c>
      <c r="C159" s="15">
        <f t="shared" si="15"/>
        <v>6.3366336633659316E-7</v>
      </c>
      <c r="E159">
        <f t="shared" si="18"/>
        <v>8.0198019801992348E-9</v>
      </c>
      <c r="G159">
        <f t="shared" si="16"/>
        <v>2.5346534653463184E-8</v>
      </c>
    </row>
    <row r="160" spans="1:7" x14ac:dyDescent="0.25">
      <c r="A160" s="15">
        <f t="shared" si="17"/>
        <v>-9.9009900990145439E-9</v>
      </c>
      <c r="C160" s="15">
        <f t="shared" si="15"/>
        <v>2.1386138613860017E-6</v>
      </c>
      <c r="E160">
        <f t="shared" si="18"/>
        <v>9.9009900990160923E-11</v>
      </c>
      <c r="G160">
        <f t="shared" si="16"/>
        <v>1.2831683168315737E-7</v>
      </c>
    </row>
    <row r="161" spans="1:7" x14ac:dyDescent="0.25">
      <c r="A161" s="15">
        <f t="shared" si="17"/>
        <v>0</v>
      </c>
      <c r="C161" s="15">
        <f t="shared" si="15"/>
        <v>5.774257425742547E-5</v>
      </c>
      <c r="E161">
        <f t="shared" si="18"/>
        <v>0</v>
      </c>
      <c r="G161">
        <f t="shared" si="16"/>
        <v>1.039366336633657E-5</v>
      </c>
    </row>
    <row r="162" spans="1:7" x14ac:dyDescent="0.25">
      <c r="A162" s="15">
        <f t="shared" si="17"/>
        <v>4.8643564356435582E-5</v>
      </c>
      <c r="C162" s="15">
        <f t="shared" si="15"/>
        <v>8.4340594059405651E-4</v>
      </c>
      <c r="E162">
        <f t="shared" si="18"/>
        <v>8.2694059405940445E-6</v>
      </c>
      <c r="G162">
        <f t="shared" si="16"/>
        <v>3.710986138613844E-4</v>
      </c>
    </row>
    <row r="163" spans="1:7" x14ac:dyDescent="0.25">
      <c r="A163" s="15">
        <f t="shared" si="17"/>
        <v>7.8719801980197865E-4</v>
      </c>
      <c r="C163" s="15">
        <f t="shared" si="15"/>
        <v>1.1648415841584048E-3</v>
      </c>
      <c r="E163">
        <f t="shared" si="18"/>
        <v>3.3849514851485055E-4</v>
      </c>
      <c r="G163">
        <f t="shared" si="16"/>
        <v>5.7077237623761657E-4</v>
      </c>
    </row>
    <row r="164" spans="1:7" x14ac:dyDescent="0.25">
      <c r="A164" s="15">
        <f t="shared" si="17"/>
        <v>9.0222772277227293E-4</v>
      </c>
      <c r="C164" s="15">
        <f t="shared" si="15"/>
        <v>2.1386138613861349E-3</v>
      </c>
      <c r="E164">
        <f t="shared" si="18"/>
        <v>4.0600247524752214E-4</v>
      </c>
      <c r="G164">
        <f t="shared" si="16"/>
        <v>1.2831683168316804E-3</v>
      </c>
    </row>
    <row r="165" spans="1:7" x14ac:dyDescent="0.25">
      <c r="A165" s="15">
        <f t="shared" si="17"/>
        <v>2.1386138613861349E-3</v>
      </c>
      <c r="C165" s="15">
        <f t="shared" si="15"/>
        <v>2.8464950495049293E-3</v>
      </c>
      <c r="E165">
        <f t="shared" si="18"/>
        <v>1.2831683168316804E-3</v>
      </c>
      <c r="G165">
        <f t="shared" si="16"/>
        <v>1.8786867326732487E-3</v>
      </c>
    </row>
    <row r="166" spans="1:7" x14ac:dyDescent="0.25">
      <c r="A166" s="15">
        <f t="shared" si="17"/>
        <v>2.8464950495049523E-3</v>
      </c>
      <c r="C166" s="15">
        <f t="shared" si="15"/>
        <v>3.1131881188118772E-3</v>
      </c>
      <c r="E166">
        <f t="shared" si="18"/>
        <v>1.8786867326732689E-3</v>
      </c>
      <c r="G166">
        <f t="shared" si="16"/>
        <v>2.1169679207920754E-3</v>
      </c>
    </row>
    <row r="167" spans="1:7" x14ac:dyDescent="0.25">
      <c r="A167" s="15">
        <f t="shared" si="17"/>
        <v>7.2178217821781835E-3</v>
      </c>
      <c r="C167" s="15">
        <f t="shared" si="15"/>
        <v>3.396039603960386E-3</v>
      </c>
      <c r="E167">
        <f t="shared" si="18"/>
        <v>6.4960396039603543E-3</v>
      </c>
      <c r="G167">
        <f t="shared" si="16"/>
        <v>2.3772277227722674E-3</v>
      </c>
    </row>
    <row r="168" spans="1:7" x14ac:dyDescent="0.25">
      <c r="A168" s="15">
        <f t="shared" si="17"/>
        <v>2.0763881188118779E-2</v>
      </c>
      <c r="C168" s="15">
        <f t="shared" si="15"/>
        <v>6.0804455445544478E-3</v>
      </c>
      <c r="E168">
        <f t="shared" si="18"/>
        <v>2.6577767920792021E-2</v>
      </c>
      <c r="G168">
        <f t="shared" si="16"/>
        <v>5.168378712871278E-3</v>
      </c>
    </row>
    <row r="169" spans="1:7" x14ac:dyDescent="0.25">
      <c r="A169" s="15">
        <f t="shared" si="17"/>
        <v>2.7168316831683088E-2</v>
      </c>
      <c r="C169" s="15">
        <f t="shared" si="15"/>
        <v>6.0804455445544478E-3</v>
      </c>
      <c r="E169">
        <f t="shared" si="18"/>
        <v>3.8035643564356278E-2</v>
      </c>
      <c r="G169">
        <f t="shared" si="16"/>
        <v>5.168378712871278E-3</v>
      </c>
    </row>
    <row r="170" spans="1:7" x14ac:dyDescent="0.25">
      <c r="A170" s="15">
        <f t="shared" si="17"/>
        <v>2.9564198019801952E-2</v>
      </c>
      <c r="C170" s="15">
        <f t="shared" si="15"/>
        <v>6.747247524752452E-3</v>
      </c>
      <c r="E170">
        <f t="shared" si="18"/>
        <v>4.2572445148514791E-2</v>
      </c>
      <c r="G170">
        <f t="shared" si="16"/>
        <v>5.9375778217821504E-3</v>
      </c>
    </row>
    <row r="171" spans="1:7" x14ac:dyDescent="0.25">
      <c r="A171" s="15">
        <f t="shared" si="17"/>
        <v>3.2751970297029608E-2</v>
      </c>
      <c r="C171" s="15">
        <f t="shared" si="15"/>
        <v>9.9009900990099011E-3</v>
      </c>
      <c r="E171">
        <f t="shared" si="18"/>
        <v>4.8800435742574061E-2</v>
      </c>
      <c r="G171">
        <f t="shared" si="16"/>
        <v>9.9009900990099011E-3</v>
      </c>
    </row>
    <row r="172" spans="1:7" x14ac:dyDescent="0.25">
      <c r="A172" s="15">
        <f t="shared" si="17"/>
        <v>3.3415841584158418E-2</v>
      </c>
      <c r="C172" s="15">
        <f t="shared" si="15"/>
        <v>1.1137267326732645E-2</v>
      </c>
      <c r="E172">
        <f t="shared" si="18"/>
        <v>5.0123762376237627E-2</v>
      </c>
      <c r="G172">
        <f t="shared" si="16"/>
        <v>1.158275801980194E-2</v>
      </c>
    </row>
    <row r="173" spans="1:7" x14ac:dyDescent="0.25">
      <c r="A173" s="15">
        <f t="shared" si="17"/>
        <v>3.5461158415841541E-2</v>
      </c>
      <c r="C173" s="15">
        <f t="shared" si="15"/>
        <v>1.3540900990098989E-2</v>
      </c>
      <c r="E173">
        <f t="shared" si="18"/>
        <v>5.4255572376237536E-2</v>
      </c>
      <c r="G173">
        <f t="shared" si="16"/>
        <v>1.5030400099009867E-2</v>
      </c>
    </row>
    <row r="174" spans="1:7" x14ac:dyDescent="0.25">
      <c r="A174" s="15">
        <f t="shared" si="17"/>
        <v>3.6870049504950424E-2</v>
      </c>
      <c r="C174" s="15">
        <f t="shared" ref="C174:C209" si="19">((B68-10.38)^3)/101</f>
        <v>1.5857554455445542E-2</v>
      </c>
      <c r="E174">
        <f t="shared" ref="E174:E209" si="20">((A68-9.8)^4)/101</f>
        <v>5.7148576732673116E-2</v>
      </c>
      <c r="G174">
        <f t="shared" ref="G174:G209" si="21">((B68-10.38)^4)/101</f>
        <v>1.8553338712871282E-2</v>
      </c>
    </row>
    <row r="175" spans="1:7" x14ac:dyDescent="0.25">
      <c r="A175" s="15">
        <f t="shared" ref="A175:A209" si="22">((A69-9.8)^3)/101</f>
        <v>4.1319613861386099E-2</v>
      </c>
      <c r="C175" s="15">
        <f t="shared" si="19"/>
        <v>1.6684742574257404E-2</v>
      </c>
      <c r="E175">
        <f t="shared" si="20"/>
        <v>6.652457831683159E-2</v>
      </c>
      <c r="G175">
        <f t="shared" si="21"/>
        <v>1.9854843663366303E-2</v>
      </c>
    </row>
    <row r="176" spans="1:7" x14ac:dyDescent="0.25">
      <c r="A176" s="15">
        <f t="shared" si="22"/>
        <v>4.779018811881184E-2</v>
      </c>
      <c r="C176" s="15">
        <f t="shared" si="19"/>
        <v>1.7540207920792038E-2</v>
      </c>
      <c r="E176">
        <f t="shared" si="20"/>
        <v>8.0765417920791976E-2</v>
      </c>
      <c r="G176">
        <f t="shared" si="21"/>
        <v>2.1223651584158353E-2</v>
      </c>
    </row>
    <row r="177" spans="1:7" x14ac:dyDescent="0.25">
      <c r="A177" s="15">
        <f t="shared" si="22"/>
        <v>5.126452475247513E-2</v>
      </c>
      <c r="C177" s="15">
        <f t="shared" si="19"/>
        <v>1.797869306930688E-2</v>
      </c>
      <c r="E177">
        <f t="shared" si="20"/>
        <v>8.8687627821781898E-2</v>
      </c>
      <c r="G177">
        <f t="shared" si="21"/>
        <v>2.1934005544554377E-2</v>
      </c>
    </row>
    <row r="178" spans="1:7" x14ac:dyDescent="0.25">
      <c r="A178" s="15">
        <f t="shared" si="22"/>
        <v>7.6855366336633507E-2</v>
      </c>
      <c r="C178" s="15">
        <f t="shared" si="19"/>
        <v>1.9337871287128713E-2</v>
      </c>
      <c r="E178">
        <f t="shared" si="20"/>
        <v>0.15217362534653422</v>
      </c>
      <c r="G178">
        <f t="shared" si="21"/>
        <v>2.4172339108910892E-2</v>
      </c>
    </row>
    <row r="179" spans="1:7" x14ac:dyDescent="0.25">
      <c r="A179" s="15">
        <f t="shared" si="22"/>
        <v>9.7033108910890925E-2</v>
      </c>
      <c r="C179" s="15">
        <f t="shared" si="19"/>
        <v>2.3293435643564356E-2</v>
      </c>
      <c r="E179">
        <f t="shared" si="20"/>
        <v>0.20765085306930647</v>
      </c>
      <c r="G179">
        <f t="shared" si="21"/>
        <v>3.0980269405940598E-2</v>
      </c>
    </row>
    <row r="180" spans="1:7" x14ac:dyDescent="0.25">
      <c r="A180" s="15">
        <f t="shared" si="22"/>
        <v>9.9779168316831701E-2</v>
      </c>
      <c r="C180" s="15">
        <f t="shared" si="19"/>
        <v>2.4360148514851469E-2</v>
      </c>
      <c r="E180">
        <f t="shared" si="20"/>
        <v>0.2155230035643565</v>
      </c>
      <c r="G180">
        <f t="shared" si="21"/>
        <v>3.2886200495049478E-2</v>
      </c>
    </row>
    <row r="181" spans="1:7" x14ac:dyDescent="0.25">
      <c r="A181" s="15">
        <f t="shared" si="22"/>
        <v>0.11428887128712867</v>
      </c>
      <c r="C181" s="15">
        <f t="shared" si="19"/>
        <v>2.7168316831683088E-2</v>
      </c>
      <c r="E181">
        <f t="shared" si="20"/>
        <v>0.25829284910891076</v>
      </c>
      <c r="G181">
        <f t="shared" si="21"/>
        <v>3.8035643564356278E-2</v>
      </c>
    </row>
    <row r="182" spans="1:7" x14ac:dyDescent="0.25">
      <c r="A182" s="15">
        <f t="shared" si="22"/>
        <v>0.17201959405940589</v>
      </c>
      <c r="C182" s="15">
        <f t="shared" si="19"/>
        <v>3.5461158415841541E-2</v>
      </c>
      <c r="E182">
        <f t="shared" si="20"/>
        <v>0.44553074861386122</v>
      </c>
      <c r="G182">
        <f t="shared" si="21"/>
        <v>5.4255572376237536E-2</v>
      </c>
    </row>
    <row r="183" spans="1:7" x14ac:dyDescent="0.25">
      <c r="A183" s="15">
        <f t="shared" si="22"/>
        <v>0.17401980198019795</v>
      </c>
      <c r="C183" s="15">
        <f t="shared" si="19"/>
        <v>6.1678257425742559E-2</v>
      </c>
      <c r="E183">
        <f t="shared" si="20"/>
        <v>0.45245148514851458</v>
      </c>
      <c r="G183">
        <f t="shared" si="21"/>
        <v>0.1134879936633663</v>
      </c>
    </row>
    <row r="184" spans="1:7" x14ac:dyDescent="0.25">
      <c r="A184" s="15">
        <f t="shared" si="22"/>
        <v>0.178066613861386</v>
      </c>
      <c r="C184" s="15">
        <f t="shared" si="19"/>
        <v>0.10117141584158416</v>
      </c>
      <c r="E184">
        <f t="shared" si="20"/>
        <v>0.46653452831683118</v>
      </c>
      <c r="G184">
        <f t="shared" si="21"/>
        <v>0.2195419723762376</v>
      </c>
    </row>
    <row r="185" spans="1:7" x14ac:dyDescent="0.25">
      <c r="A185" s="15">
        <f t="shared" si="22"/>
        <v>0.18425371287128686</v>
      </c>
      <c r="C185" s="15">
        <f t="shared" si="19"/>
        <v>0.10399464356435638</v>
      </c>
      <c r="E185">
        <f t="shared" si="20"/>
        <v>0.48827233910890988</v>
      </c>
      <c r="G185">
        <f t="shared" si="21"/>
        <v>0.22774826940594042</v>
      </c>
    </row>
    <row r="186" spans="1:7" x14ac:dyDescent="0.25">
      <c r="A186" s="15">
        <f t="shared" si="22"/>
        <v>0.20367152475247488</v>
      </c>
      <c r="C186" s="15">
        <f t="shared" si="19"/>
        <v>0.10542574257425734</v>
      </c>
      <c r="E186">
        <f t="shared" si="20"/>
        <v>0.55805997782178085</v>
      </c>
      <c r="G186">
        <f t="shared" si="21"/>
        <v>0.23193663366336609</v>
      </c>
    </row>
    <row r="187" spans="1:7" x14ac:dyDescent="0.25">
      <c r="A187" s="15">
        <f t="shared" si="22"/>
        <v>0.20816411881188115</v>
      </c>
      <c r="C187" s="15">
        <f t="shared" si="19"/>
        <v>0.13347794059405924</v>
      </c>
      <c r="E187">
        <f t="shared" si="20"/>
        <v>0.57453296792079189</v>
      </c>
      <c r="G187">
        <f t="shared" si="21"/>
        <v>0.31767749861386085</v>
      </c>
    </row>
    <row r="188" spans="1:7" x14ac:dyDescent="0.25">
      <c r="A188" s="15">
        <f t="shared" si="22"/>
        <v>0.28091707920792047</v>
      </c>
      <c r="C188" s="15">
        <f t="shared" si="19"/>
        <v>0.14382954455445537</v>
      </c>
      <c r="E188">
        <f t="shared" si="20"/>
        <v>0.85679709158415718</v>
      </c>
      <c r="G188">
        <f t="shared" si="21"/>
        <v>0.35094408871287108</v>
      </c>
    </row>
    <row r="189" spans="1:7" x14ac:dyDescent="0.25">
      <c r="A189" s="15">
        <f t="shared" si="22"/>
        <v>0.32748674257425714</v>
      </c>
      <c r="C189" s="15">
        <f t="shared" si="19"/>
        <v>0.19058249504950489</v>
      </c>
      <c r="E189">
        <f t="shared" si="20"/>
        <v>1.0512324436633653</v>
      </c>
      <c r="G189">
        <f t="shared" si="21"/>
        <v>0.51076108673267306</v>
      </c>
    </row>
    <row r="190" spans="1:7" x14ac:dyDescent="0.25">
      <c r="A190" s="15">
        <f t="shared" si="22"/>
        <v>0.33364620792079169</v>
      </c>
      <c r="C190" s="15">
        <f t="shared" si="19"/>
        <v>0.19488118811881175</v>
      </c>
      <c r="E190">
        <f t="shared" si="20"/>
        <v>1.0776772515841566</v>
      </c>
      <c r="G190">
        <f t="shared" si="21"/>
        <v>0.52617920792079165</v>
      </c>
    </row>
    <row r="191" spans="1:7" x14ac:dyDescent="0.25">
      <c r="A191" s="15">
        <f t="shared" si="22"/>
        <v>0.33675469306930639</v>
      </c>
      <c r="C191" s="15">
        <f t="shared" si="19"/>
        <v>0.27816300990098985</v>
      </c>
      <c r="E191">
        <f t="shared" si="20"/>
        <v>1.0910852055445524</v>
      </c>
      <c r="G191">
        <f t="shared" si="21"/>
        <v>0.84561555009900891</v>
      </c>
    </row>
    <row r="192" spans="1:7" x14ac:dyDescent="0.25">
      <c r="A192" s="15">
        <f t="shared" si="22"/>
        <v>0.35581188118811852</v>
      </c>
      <c r="C192" s="15">
        <f t="shared" si="19"/>
        <v>0.27816300990098985</v>
      </c>
      <c r="E192">
        <f t="shared" si="20"/>
        <v>1.1741792079207907</v>
      </c>
      <c r="G192">
        <f t="shared" si="21"/>
        <v>0.84561555009900891</v>
      </c>
    </row>
    <row r="193" spans="1:7" x14ac:dyDescent="0.25">
      <c r="A193" s="15">
        <f t="shared" si="22"/>
        <v>0.39259228712871291</v>
      </c>
      <c r="C193" s="15">
        <f t="shared" si="19"/>
        <v>0.3305569108910888</v>
      </c>
      <c r="E193">
        <f t="shared" si="20"/>
        <v>1.3387396991089113</v>
      </c>
      <c r="G193">
        <f t="shared" si="21"/>
        <v>1.0643932530693054</v>
      </c>
    </row>
    <row r="194" spans="1:7" x14ac:dyDescent="0.25">
      <c r="A194" s="15">
        <f t="shared" si="22"/>
        <v>0.40657054455445518</v>
      </c>
      <c r="C194" s="15">
        <f t="shared" si="19"/>
        <v>0.34938170297029686</v>
      </c>
      <c r="E194">
        <f t="shared" si="20"/>
        <v>1.40266837871287</v>
      </c>
      <c r="G194">
        <f t="shared" si="21"/>
        <v>1.1459719857425734</v>
      </c>
    </row>
    <row r="195" spans="1:7" x14ac:dyDescent="0.25">
      <c r="A195" s="15">
        <f t="shared" si="22"/>
        <v>0.48542471287128719</v>
      </c>
      <c r="C195" s="15">
        <f t="shared" si="19"/>
        <v>0.37557481188118791</v>
      </c>
      <c r="E195">
        <f t="shared" si="20"/>
        <v>1.7766544491089113</v>
      </c>
      <c r="G195">
        <f t="shared" si="21"/>
        <v>1.2619313679207913</v>
      </c>
    </row>
    <row r="196" spans="1:7" x14ac:dyDescent="0.25">
      <c r="A196" s="15">
        <f t="shared" si="22"/>
        <v>0.53475398019801956</v>
      </c>
      <c r="C196" s="15">
        <f t="shared" si="19"/>
        <v>0.4619405940594058</v>
      </c>
      <c r="E196">
        <f t="shared" si="20"/>
        <v>2.0213700451485139</v>
      </c>
      <c r="G196">
        <f t="shared" si="21"/>
        <v>1.6629861386138607</v>
      </c>
    </row>
    <row r="197" spans="1:7" x14ac:dyDescent="0.25">
      <c r="A197" s="15">
        <f t="shared" si="22"/>
        <v>0.78719801980197968</v>
      </c>
      <c r="C197" s="15">
        <f t="shared" si="19"/>
        <v>0.64321592079207901</v>
      </c>
      <c r="E197">
        <f t="shared" si="20"/>
        <v>3.3849514851485116</v>
      </c>
      <c r="G197">
        <f t="shared" si="21"/>
        <v>2.5857280015841568</v>
      </c>
    </row>
    <row r="198" spans="1:7" x14ac:dyDescent="0.25">
      <c r="A198" s="15">
        <f t="shared" si="22"/>
        <v>0.85495928712871283</v>
      </c>
      <c r="C198" s="15">
        <f t="shared" si="19"/>
        <v>0.69242106930693026</v>
      </c>
      <c r="E198">
        <f t="shared" si="20"/>
        <v>3.7789200491089114</v>
      </c>
      <c r="G198">
        <f t="shared" si="21"/>
        <v>2.8527748055445521</v>
      </c>
    </row>
    <row r="199" spans="1:7" x14ac:dyDescent="0.25">
      <c r="A199" s="15">
        <f t="shared" si="22"/>
        <v>1.0083917128712871</v>
      </c>
      <c r="C199" s="15">
        <f t="shared" si="19"/>
        <v>0.75470320792079126</v>
      </c>
      <c r="E199">
        <f t="shared" si="20"/>
        <v>4.7091892991089104</v>
      </c>
      <c r="G199">
        <f t="shared" si="21"/>
        <v>3.199941601584154</v>
      </c>
    </row>
    <row r="200" spans="1:7" x14ac:dyDescent="0.25">
      <c r="A200" s="15">
        <f t="shared" si="22"/>
        <v>1.0148834851485147</v>
      </c>
      <c r="C200" s="15">
        <f t="shared" si="19"/>
        <v>0.84916951485148429</v>
      </c>
      <c r="E200">
        <f t="shared" si="20"/>
        <v>4.7496547104950482</v>
      </c>
      <c r="G200">
        <f t="shared" si="21"/>
        <v>3.7448375604950441</v>
      </c>
    </row>
    <row r="201" spans="1:7" x14ac:dyDescent="0.25">
      <c r="A201" s="15">
        <f t="shared" si="22"/>
        <v>1.0214030594059402</v>
      </c>
      <c r="C201" s="15">
        <f t="shared" si="19"/>
        <v>0.97002159405940558</v>
      </c>
      <c r="E201">
        <f t="shared" si="20"/>
        <v>4.7903803486138594</v>
      </c>
      <c r="G201">
        <f t="shared" si="21"/>
        <v>4.4717995486138591</v>
      </c>
    </row>
    <row r="202" spans="1:7" x14ac:dyDescent="0.25">
      <c r="A202" s="15">
        <f t="shared" si="22"/>
        <v>1.1719878316831684</v>
      </c>
      <c r="C202" s="15">
        <f t="shared" si="19"/>
        <v>1.1295457920792076</v>
      </c>
      <c r="E202">
        <f t="shared" si="20"/>
        <v>5.7544602535643561</v>
      </c>
      <c r="G202">
        <f t="shared" si="21"/>
        <v>5.4782970915841567</v>
      </c>
    </row>
    <row r="203" spans="1:7" x14ac:dyDescent="0.25">
      <c r="A203" s="15">
        <f t="shared" si="22"/>
        <v>1.2081577821782172</v>
      </c>
      <c r="C203" s="15">
        <f t="shared" si="19"/>
        <v>1.2302128613861374</v>
      </c>
      <c r="E203">
        <f t="shared" si="20"/>
        <v>5.9924625996039564</v>
      </c>
      <c r="G203">
        <f t="shared" si="21"/>
        <v>6.1387621783168242</v>
      </c>
    </row>
    <row r="204" spans="1:7" x14ac:dyDescent="0.25">
      <c r="A204" s="15">
        <f t="shared" si="22"/>
        <v>1.252534732673267</v>
      </c>
      <c r="C204" s="15">
        <f t="shared" si="19"/>
        <v>2.2584072376237594</v>
      </c>
      <c r="E204">
        <f t="shared" si="20"/>
        <v>6.2877243580197995</v>
      </c>
      <c r="G204">
        <f t="shared" si="21"/>
        <v>13.798868221881166</v>
      </c>
    </row>
    <row r="205" spans="1:7" x14ac:dyDescent="0.25">
      <c r="A205" s="15">
        <f t="shared" si="22"/>
        <v>1.400205554455445</v>
      </c>
      <c r="C205" s="15">
        <f t="shared" si="19"/>
        <v>3.0857995247524741</v>
      </c>
      <c r="E205">
        <f t="shared" si="20"/>
        <v>7.2950709387128674</v>
      </c>
      <c r="G205">
        <f t="shared" si="21"/>
        <v>20.921720777821772</v>
      </c>
    </row>
    <row r="206" spans="1:7" x14ac:dyDescent="0.25">
      <c r="A206" s="15">
        <f t="shared" si="22"/>
        <v>1.7017783762376226</v>
      </c>
      <c r="C206" s="15">
        <f t="shared" si="19"/>
        <v>3.6495229009900991</v>
      </c>
      <c r="E206">
        <f t="shared" si="20"/>
        <v>9.4618877718811785</v>
      </c>
      <c r="G206">
        <f t="shared" si="21"/>
        <v>26.167079200099007</v>
      </c>
    </row>
    <row r="207" spans="1:7" x14ac:dyDescent="0.25">
      <c r="A207" s="15">
        <f t="shared" si="22"/>
        <v>1.7294740495049503</v>
      </c>
      <c r="C207" s="15">
        <f t="shared" si="19"/>
        <v>4.3120743762376241</v>
      </c>
      <c r="E207">
        <f t="shared" si="20"/>
        <v>9.6677599367326721</v>
      </c>
      <c r="G207">
        <f t="shared" si="21"/>
        <v>32.685523771881194</v>
      </c>
    </row>
    <row r="208" spans="1:7" x14ac:dyDescent="0.25">
      <c r="A208" s="15">
        <f t="shared" si="22"/>
        <v>1.7857636138613848</v>
      </c>
      <c r="C208" s="15">
        <f t="shared" si="19"/>
        <v>5.8893398118811842</v>
      </c>
      <c r="E208">
        <f t="shared" si="20"/>
        <v>10.089564418316822</v>
      </c>
      <c r="G208">
        <f t="shared" si="21"/>
        <v>49.529347817920744</v>
      </c>
    </row>
    <row r="209" spans="1:7" x14ac:dyDescent="0.25">
      <c r="A209" s="15">
        <f t="shared" si="22"/>
        <v>1.9720465742574256</v>
      </c>
      <c r="C209" s="15">
        <f t="shared" si="19"/>
        <v>7.1458838910891105</v>
      </c>
      <c r="E209">
        <f t="shared" si="20"/>
        <v>11.516751993663362</v>
      </c>
      <c r="G209">
        <f t="shared" si="21"/>
        <v>64.098578503069319</v>
      </c>
    </row>
    <row r="210" spans="1:7" x14ac:dyDescent="0.25">
      <c r="A210" s="25">
        <f>SUM(A109:A209)</f>
        <v>-0.57439831683169351</v>
      </c>
      <c r="C210" s="25">
        <f>SUM(C109:C209)</f>
        <v>0.70415120792080099</v>
      </c>
      <c r="E210">
        <f>SUM(E109:E209)</f>
        <v>208.62245134257421</v>
      </c>
      <c r="G210">
        <f>SUM(G109:G209)</f>
        <v>482.82840515960402</v>
      </c>
    </row>
  </sheetData>
  <sortState ref="A3:M106">
    <sortCondition ref="B3"/>
  </sortState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3"/>
  <sheetViews>
    <sheetView workbookViewId="0">
      <selection activeCell="C14" sqref="C14"/>
    </sheetView>
  </sheetViews>
  <sheetFormatPr defaultRowHeight="15" x14ac:dyDescent="0.25"/>
  <sheetData>
    <row r="1" spans="1:2" x14ac:dyDescent="0.25">
      <c r="A1" s="4"/>
      <c r="B1" s="5"/>
    </row>
    <row r="2" spans="1:2" x14ac:dyDescent="0.25">
      <c r="A2" s="4"/>
      <c r="B2" s="5"/>
    </row>
    <row r="3" spans="1:2" x14ac:dyDescent="0.25">
      <c r="A3" s="4"/>
      <c r="B3" s="5"/>
    </row>
    <row r="4" spans="1:2" x14ac:dyDescent="0.25">
      <c r="A4" s="4"/>
      <c r="B4" s="5"/>
    </row>
    <row r="5" spans="1:2" x14ac:dyDescent="0.25">
      <c r="A5" s="4"/>
      <c r="B5" s="5"/>
    </row>
    <row r="6" spans="1:2" x14ac:dyDescent="0.25">
      <c r="A6" s="4"/>
      <c r="B6" s="5"/>
    </row>
    <row r="7" spans="1:2" x14ac:dyDescent="0.25">
      <c r="A7" s="4"/>
      <c r="B7" s="5"/>
    </row>
    <row r="8" spans="1:2" x14ac:dyDescent="0.25">
      <c r="A8" s="4"/>
      <c r="B8" s="5"/>
    </row>
    <row r="9" spans="1:2" x14ac:dyDescent="0.25">
      <c r="A9" s="4"/>
      <c r="B9" s="5"/>
    </row>
    <row r="10" spans="1:2" x14ac:dyDescent="0.25">
      <c r="A10" s="4"/>
      <c r="B10" s="5"/>
    </row>
    <row r="11" spans="1:2" x14ac:dyDescent="0.25">
      <c r="A11" s="4"/>
      <c r="B11" s="5"/>
    </row>
    <row r="12" spans="1:2" x14ac:dyDescent="0.25">
      <c r="A12" s="4"/>
      <c r="B12" s="5"/>
    </row>
    <row r="13" spans="1:2" x14ac:dyDescent="0.25">
      <c r="A13" s="5"/>
      <c r="B13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Spike</dc:creator>
  <cp:lastModifiedBy>Spike</cp:lastModifiedBy>
  <dcterms:created xsi:type="dcterms:W3CDTF">2017-10-04T21:18:29Z</dcterms:created>
  <dcterms:modified xsi:type="dcterms:W3CDTF">2018-02-13T14:45:33Z</dcterms:modified>
</cp:coreProperties>
</file>